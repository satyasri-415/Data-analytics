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d02a4bf452ac1845/Desktop/"/>
    </mc:Choice>
  </mc:AlternateContent>
  <xr:revisionPtr revIDLastSave="0" documentId="8_{1C8D9A25-C3DB-4542-AC13-57B34BC084A3}" xr6:coauthVersionLast="47" xr6:coauthVersionMax="47" xr10:uidLastSave="{00000000-0000-0000-0000-000000000000}"/>
  <bookViews>
    <workbookView xWindow="-120" yWindow="-120" windowWidth="20730" windowHeight="11040" activeTab="2" xr2:uid="{5D8F91F9-F24F-401F-88EE-69D86941383C}"/>
  </bookViews>
  <sheets>
    <sheet name="Transactions" sheetId="1" r:id="rId1"/>
    <sheet name="Sheet3" sheetId="3" r:id="rId2"/>
    <sheet name="Sheet6" sheetId="6" r:id="rId3"/>
    <sheet name="Budget" sheetId="2" r:id="rId4"/>
  </sheets>
  <definedNames>
    <definedName name="Slicer_Actual_spent">#N/A</definedName>
    <definedName name="Slicer_Category">#N/A</definedName>
    <definedName name="Slicer_Remaining">#N/A</definedName>
  </definedNames>
  <calcPr calcId="191029"/>
  <pivotCaches>
    <pivotCache cacheId="12" r:id="rId5"/>
    <pivotCache cacheId="1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4" i="2"/>
  <c r="E5" i="2"/>
  <c r="E6" i="2"/>
  <c r="E7" i="2"/>
  <c r="E8" i="2"/>
  <c r="E9" i="2"/>
  <c r="E10" i="2"/>
  <c r="E11" i="2"/>
  <c r="E12" i="2"/>
  <c r="E13" i="2"/>
  <c r="E2" i="2"/>
  <c r="D3" i="2"/>
  <c r="D4" i="2"/>
  <c r="D5" i="2"/>
  <c r="D6" i="2"/>
  <c r="D7" i="2"/>
  <c r="D8" i="2"/>
  <c r="D9" i="2"/>
  <c r="D10" i="2"/>
  <c r="D11" i="2"/>
  <c r="D12" i="2"/>
  <c r="D13" i="2"/>
  <c r="D2" i="2"/>
  <c r="F13" i="1"/>
  <c r="F11" i="1"/>
  <c r="F12" i="1"/>
  <c r="F3" i="1"/>
  <c r="F4" i="1"/>
  <c r="F5" i="1"/>
  <c r="F6" i="1"/>
  <c r="F7" i="1"/>
  <c r="F8" i="1"/>
  <c r="F9" i="1"/>
  <c r="F10" i="1"/>
  <c r="F2" i="1"/>
</calcChain>
</file>

<file path=xl/sharedStrings.xml><?xml version="1.0" encoding="utf-8"?>
<sst xmlns="http://schemas.openxmlformats.org/spreadsheetml/2006/main" count="136" uniqueCount="53">
  <si>
    <t>Date</t>
  </si>
  <si>
    <t>Category</t>
  </si>
  <si>
    <t>Rent</t>
  </si>
  <si>
    <t>Food</t>
  </si>
  <si>
    <t>Transport</t>
  </si>
  <si>
    <t>Entertainment</t>
  </si>
  <si>
    <t>Savings</t>
  </si>
  <si>
    <t>Salary</t>
  </si>
  <si>
    <t>Shopping</t>
  </si>
  <si>
    <t>Education</t>
  </si>
  <si>
    <t>Utilities</t>
  </si>
  <si>
    <t>Health care</t>
  </si>
  <si>
    <t>Freelance</t>
  </si>
  <si>
    <t>Type</t>
  </si>
  <si>
    <t>Expense</t>
  </si>
  <si>
    <t>Saving</t>
  </si>
  <si>
    <t>Income</t>
  </si>
  <si>
    <t>Description</t>
  </si>
  <si>
    <t>House rent</t>
  </si>
  <si>
    <t>Groceries</t>
  </si>
  <si>
    <t>Tax</t>
  </si>
  <si>
    <t>Movie night</t>
  </si>
  <si>
    <t>Monthly deposit</t>
  </si>
  <si>
    <t>Salarycredit</t>
  </si>
  <si>
    <t>Clothing</t>
  </si>
  <si>
    <t>Onlinecourse</t>
  </si>
  <si>
    <t>Electricity bill</t>
  </si>
  <si>
    <t>Mediacal checkup</t>
  </si>
  <si>
    <t>Freelance project</t>
  </si>
  <si>
    <t>Actual amout</t>
  </si>
  <si>
    <t>Month</t>
  </si>
  <si>
    <t>savings</t>
  </si>
  <si>
    <t>Monthly budget</t>
  </si>
  <si>
    <t>Actual spent</t>
  </si>
  <si>
    <t>Remaining</t>
  </si>
  <si>
    <t>Row Labels</t>
  </si>
  <si>
    <t>Grand Total</t>
  </si>
  <si>
    <t>Sum of Monthly budget</t>
  </si>
  <si>
    <t>Sum of Actual spent</t>
  </si>
  <si>
    <t>August</t>
  </si>
  <si>
    <t>April</t>
  </si>
  <si>
    <t>February</t>
  </si>
  <si>
    <t>November</t>
  </si>
  <si>
    <t>October</t>
  </si>
  <si>
    <t>January</t>
  </si>
  <si>
    <t>June</t>
  </si>
  <si>
    <t>May</t>
  </si>
  <si>
    <t>December</t>
  </si>
  <si>
    <t>July</t>
  </si>
  <si>
    <t>March</t>
  </si>
  <si>
    <t>September</t>
  </si>
  <si>
    <t>(blank)</t>
  </si>
  <si>
    <t>Sum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</si>
</sst>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[Satya.xlsx]Sheet3!PivotTable1</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Sum of Monthly budget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Sheet3!$A$4:$A$27</c:f>
              <c:multiLvlStrCache>
                <c:ptCount val="12"/>
                <c:lvl>
                  <c:pt idx="0">
                    <c:v>August</c:v>
                  </c:pt>
                  <c:pt idx="1">
                    <c:v>April</c:v>
                  </c:pt>
                  <c:pt idx="2">
                    <c:v>February</c:v>
                  </c:pt>
                  <c:pt idx="3">
                    <c:v>November</c:v>
                  </c:pt>
                  <c:pt idx="4">
                    <c:v>October</c:v>
                  </c:pt>
                  <c:pt idx="5">
                    <c:v>January</c:v>
                  </c:pt>
                  <c:pt idx="6">
                    <c:v>June</c:v>
                  </c:pt>
                  <c:pt idx="7">
                    <c:v>May</c:v>
                  </c:pt>
                  <c:pt idx="8">
                    <c:v>December</c:v>
                  </c:pt>
                  <c:pt idx="9">
                    <c:v>July</c:v>
                  </c:pt>
                  <c:pt idx="10">
                    <c:v>March</c:v>
                  </c:pt>
                  <c:pt idx="11">
                    <c:v>September</c:v>
                  </c:pt>
                </c:lvl>
                <c:lvl>
                  <c:pt idx="0">
                    <c:v>Education</c:v>
                  </c:pt>
                  <c:pt idx="1">
                    <c:v>Entertainment</c:v>
                  </c:pt>
                  <c:pt idx="2">
                    <c:v>Food</c:v>
                  </c:pt>
                  <c:pt idx="3">
                    <c:v>Freelance</c:v>
                  </c:pt>
                  <c:pt idx="4">
                    <c:v>Health care</c:v>
                  </c:pt>
                  <c:pt idx="5">
                    <c:v>Rent</c:v>
                  </c:pt>
                  <c:pt idx="6">
                    <c:v>Salary</c:v>
                  </c:pt>
                  <c:pt idx="7">
                    <c:v>Savings</c:v>
                  </c:pt>
                  <c:pt idx="9">
                    <c:v>Shopping</c:v>
                  </c:pt>
                  <c:pt idx="10">
                    <c:v>Transport</c:v>
                  </c:pt>
                  <c:pt idx="11">
                    <c:v>Utilities</c:v>
                  </c:pt>
                </c:lvl>
              </c:multiLvlStrCache>
            </c:multiLvlStrRef>
          </c:cat>
          <c:val>
            <c:numRef>
              <c:f>Sheet3!$B$4:$B$27</c:f>
              <c:numCache>
                <c:formatCode>General</c:formatCode>
                <c:ptCount val="12"/>
                <c:pt idx="0">
                  <c:v>10000</c:v>
                </c:pt>
                <c:pt idx="1">
                  <c:v>3000</c:v>
                </c:pt>
                <c:pt idx="2">
                  <c:v>2500</c:v>
                </c:pt>
                <c:pt idx="3">
                  <c:v>3000</c:v>
                </c:pt>
                <c:pt idx="4">
                  <c:v>5000</c:v>
                </c:pt>
                <c:pt idx="5">
                  <c:v>5000</c:v>
                </c:pt>
                <c:pt idx="6">
                  <c:v>40000</c:v>
                </c:pt>
                <c:pt idx="7">
                  <c:v>6000</c:v>
                </c:pt>
                <c:pt idx="8">
                  <c:v>5000</c:v>
                </c:pt>
                <c:pt idx="9">
                  <c:v>7000</c:v>
                </c:pt>
                <c:pt idx="10">
                  <c:v>1500</c:v>
                </c:pt>
                <c:pt idx="11">
                  <c:v>3000</c:v>
                </c:pt>
              </c:numCache>
            </c:numRef>
          </c:val>
          <c:extLst>
            <c:ext xmlns:c16="http://schemas.microsoft.com/office/drawing/2014/chart" uri="{C3380CC4-5D6E-409C-BE32-E72D297353CC}">
              <c16:uniqueId val="{00000000-C788-45AC-B3AE-1D7C510B4A18}"/>
            </c:ext>
          </c:extLst>
        </c:ser>
        <c:ser>
          <c:idx val="1"/>
          <c:order val="1"/>
          <c:tx>
            <c:strRef>
              <c:f>Sheet3!$C$3</c:f>
              <c:strCache>
                <c:ptCount val="1"/>
                <c:pt idx="0">
                  <c:v>Sum of Actual spent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Sheet3!$A$4:$A$27</c:f>
              <c:multiLvlStrCache>
                <c:ptCount val="12"/>
                <c:lvl>
                  <c:pt idx="0">
                    <c:v>August</c:v>
                  </c:pt>
                  <c:pt idx="1">
                    <c:v>April</c:v>
                  </c:pt>
                  <c:pt idx="2">
                    <c:v>February</c:v>
                  </c:pt>
                  <c:pt idx="3">
                    <c:v>November</c:v>
                  </c:pt>
                  <c:pt idx="4">
                    <c:v>October</c:v>
                  </c:pt>
                  <c:pt idx="5">
                    <c:v>January</c:v>
                  </c:pt>
                  <c:pt idx="6">
                    <c:v>June</c:v>
                  </c:pt>
                  <c:pt idx="7">
                    <c:v>May</c:v>
                  </c:pt>
                  <c:pt idx="8">
                    <c:v>December</c:v>
                  </c:pt>
                  <c:pt idx="9">
                    <c:v>July</c:v>
                  </c:pt>
                  <c:pt idx="10">
                    <c:v>March</c:v>
                  </c:pt>
                  <c:pt idx="11">
                    <c:v>September</c:v>
                  </c:pt>
                </c:lvl>
                <c:lvl>
                  <c:pt idx="0">
                    <c:v>Education</c:v>
                  </c:pt>
                  <c:pt idx="1">
                    <c:v>Entertainment</c:v>
                  </c:pt>
                  <c:pt idx="2">
                    <c:v>Food</c:v>
                  </c:pt>
                  <c:pt idx="3">
                    <c:v>Freelance</c:v>
                  </c:pt>
                  <c:pt idx="4">
                    <c:v>Health care</c:v>
                  </c:pt>
                  <c:pt idx="5">
                    <c:v>Rent</c:v>
                  </c:pt>
                  <c:pt idx="6">
                    <c:v>Salary</c:v>
                  </c:pt>
                  <c:pt idx="7">
                    <c:v>Savings</c:v>
                  </c:pt>
                  <c:pt idx="9">
                    <c:v>Shopping</c:v>
                  </c:pt>
                  <c:pt idx="10">
                    <c:v>Transport</c:v>
                  </c:pt>
                  <c:pt idx="11">
                    <c:v>Utilities</c:v>
                  </c:pt>
                </c:lvl>
              </c:multiLvlStrCache>
            </c:multiLvlStrRef>
          </c:cat>
          <c:val>
            <c:numRef>
              <c:f>Sheet3!$C$4:$C$27</c:f>
              <c:numCache>
                <c:formatCode>General</c:formatCode>
                <c:ptCount val="12"/>
                <c:pt idx="0">
                  <c:v>7000</c:v>
                </c:pt>
                <c:pt idx="1">
                  <c:v>2500</c:v>
                </c:pt>
                <c:pt idx="2">
                  <c:v>1500</c:v>
                </c:pt>
                <c:pt idx="3">
                  <c:v>2000</c:v>
                </c:pt>
                <c:pt idx="4">
                  <c:v>3000</c:v>
                </c:pt>
                <c:pt idx="5">
                  <c:v>4000</c:v>
                </c:pt>
                <c:pt idx="6">
                  <c:v>3000</c:v>
                </c:pt>
                <c:pt idx="7">
                  <c:v>5000</c:v>
                </c:pt>
                <c:pt idx="8">
                  <c:v>2000</c:v>
                </c:pt>
                <c:pt idx="9">
                  <c:v>6000</c:v>
                </c:pt>
                <c:pt idx="10">
                  <c:v>1000</c:v>
                </c:pt>
                <c:pt idx="11">
                  <c:v>2000</c:v>
                </c:pt>
              </c:numCache>
            </c:numRef>
          </c:val>
          <c:extLst>
            <c:ext xmlns:c16="http://schemas.microsoft.com/office/drawing/2014/chart" uri="{C3380CC4-5D6E-409C-BE32-E72D297353CC}">
              <c16:uniqueId val="{00000001-C788-45AC-B3AE-1D7C510B4A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Sheet3!$F$4:$F$16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extLst>
            <c:ext xmlns:c16="http://schemas.microsoft.com/office/drawing/2014/chart" uri="{C3380CC4-5D6E-409C-BE32-E72D297353CC}">
              <c16:uniqueId val="{00000000-FF5F-45EB-BFAE-EDBD79A85631}"/>
            </c:ext>
          </c:extLst>
        </c:ser>
        <c:ser>
          <c:idx val="1"/>
          <c:order val="1"/>
          <c:tx>
            <c:strRef>
              <c:f>Sheet3!$G$3</c:f>
              <c:strCache>
                <c:ptCount val="1"/>
                <c:pt idx="0">
                  <c:v>Sum of Remaining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Sheet3!$G$4:$G$16</c:f>
              <c:numCache>
                <c:formatCode>General</c:formatCode>
                <c:ptCount val="12"/>
                <c:pt idx="0">
                  <c:v>3000</c:v>
                </c:pt>
                <c:pt idx="1">
                  <c:v>500</c:v>
                </c:pt>
                <c:pt idx="2">
                  <c:v>1000</c:v>
                </c:pt>
                <c:pt idx="3">
                  <c:v>1000</c:v>
                </c:pt>
                <c:pt idx="4">
                  <c:v>2000</c:v>
                </c:pt>
                <c:pt idx="5">
                  <c:v>1000</c:v>
                </c:pt>
                <c:pt idx="6">
                  <c:v>37000</c:v>
                </c:pt>
                <c:pt idx="7">
                  <c:v>4000</c:v>
                </c:pt>
                <c:pt idx="8">
                  <c:v>1000</c:v>
                </c:pt>
                <c:pt idx="9">
                  <c:v>500</c:v>
                </c:pt>
                <c:pt idx="10">
                  <c:v>1000</c:v>
                </c:pt>
              </c:numCache>
            </c:numRef>
          </c:val>
          <c:extLst>
            <c:ext xmlns:c16="http://schemas.microsoft.com/office/drawing/2014/chart" uri="{C3380CC4-5D6E-409C-BE32-E72D297353CC}">
              <c16:uniqueId val="{00000001-FF5F-45EB-BFAE-EDBD79A85631}"/>
            </c:ext>
          </c:extLst>
        </c:ser>
        <c:dLbls>
          <c:dLblPos val="outEnd"/>
          <c:showLegendKey val="0"/>
          <c:showVal val="1"/>
          <c:showCatName val="0"/>
          <c:showSerName val="0"/>
          <c:showPercent val="0"/>
          <c:showBubbleSize val="0"/>
        </c:dLbls>
        <c:gapWidth val="219"/>
        <c:overlap val="-27"/>
        <c:axId val="694288671"/>
        <c:axId val="694283871"/>
      </c:barChart>
      <c:catAx>
        <c:axId val="69428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83871"/>
        <c:crosses val="autoZero"/>
        <c:auto val="1"/>
        <c:lblAlgn val="ctr"/>
        <c:lblOffset val="100"/>
        <c:noMultiLvlLbl val="0"/>
      </c:catAx>
      <c:valAx>
        <c:axId val="69428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[Satya.xlsx]Sheet3!PivotTable4</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Sheet3!$J$3</c:f>
              <c:strCache>
                <c:ptCount val="1"/>
                <c:pt idx="0">
                  <c:v>Sum of Monthly budget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Sheet3!$I$4:$I$16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Sheet3!$J$4:$J$16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smooth val="0"/>
          <c:extLst>
            <c:ext xmlns:c16="http://schemas.microsoft.com/office/drawing/2014/chart" uri="{C3380CC4-5D6E-409C-BE32-E72D297353CC}">
              <c16:uniqueId val="{00000000-1312-4B93-B09B-38C61D1185D8}"/>
            </c:ext>
          </c:extLst>
        </c:ser>
        <c:ser>
          <c:idx val="1"/>
          <c:order val="1"/>
          <c:tx>
            <c:strRef>
              <c:f>Sheet3!$K$3</c:f>
              <c:strCache>
                <c:ptCount val="1"/>
                <c:pt idx="0">
                  <c:v>Sum of Actual spent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Sheet3!$I$4:$I$16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Sheet3!$K$4:$K$16</c:f>
              <c:numCache>
                <c:formatCode>General</c:formatCode>
                <c:ptCount val="12"/>
                <c:pt idx="0">
                  <c:v>7000</c:v>
                </c:pt>
                <c:pt idx="1">
                  <c:v>2500</c:v>
                </c:pt>
                <c:pt idx="2">
                  <c:v>1500</c:v>
                </c:pt>
                <c:pt idx="3">
                  <c:v>2000</c:v>
                </c:pt>
                <c:pt idx="4">
                  <c:v>3000</c:v>
                </c:pt>
                <c:pt idx="5">
                  <c:v>4000</c:v>
                </c:pt>
                <c:pt idx="6">
                  <c:v>3000</c:v>
                </c:pt>
                <c:pt idx="7">
                  <c:v>7000</c:v>
                </c:pt>
                <c:pt idx="8">
                  <c:v>6000</c:v>
                </c:pt>
                <c:pt idx="9">
                  <c:v>1000</c:v>
                </c:pt>
                <c:pt idx="10">
                  <c:v>2000</c:v>
                </c:pt>
              </c:numCache>
            </c:numRef>
          </c:val>
          <c:smooth val="0"/>
          <c:extLst>
            <c:ext xmlns:c16="http://schemas.microsoft.com/office/drawing/2014/chart" uri="{C3380CC4-5D6E-409C-BE32-E72D297353CC}">
              <c16:uniqueId val="{00000001-1312-4B93-B09B-38C61D1185D8}"/>
            </c:ext>
          </c:extLst>
        </c:ser>
        <c:dLbls>
          <c:dLblPos val="t"/>
          <c:showLegendKey val="0"/>
          <c:showVal val="1"/>
          <c:showCatName val="0"/>
          <c:showSerName val="0"/>
          <c:showPercent val="0"/>
          <c:showBubbleSize val="0"/>
        </c:dLbls>
        <c:smooth val="0"/>
        <c:axId val="788703279"/>
        <c:axId val="788703759"/>
      </c:lineChart>
      <c:catAx>
        <c:axId val="7887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03759"/>
        <c:crosses val="autoZero"/>
        <c:auto val="1"/>
        <c:lblAlgn val="ctr"/>
        <c:lblOffset val="100"/>
        <c:noMultiLvlLbl val="0"/>
      </c:catAx>
      <c:valAx>
        <c:axId val="788703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0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[Satya.xlsx]Sheet3!PivotTable6</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50333357179164"/>
          <c:y val="0.20434841966041559"/>
          <c:w val="0.37881863018574219"/>
          <c:h val="0.59130316067916877"/>
        </c:manualLayout>
      </c:layout>
      <c:pieChart>
        <c:varyColors val="1"/>
        <c:ser>
          <c:idx val="0"/>
          <c:order val="0"/>
          <c:tx>
            <c:strRef>
              <c:f>Sheet3!$N$3</c:f>
              <c:strCache>
                <c:ptCount val="1"/>
                <c:pt idx="0">
                  <c:v>Sum of Monthly 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Sheet3!$N$4:$N$16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extLst>
            <c:ext xmlns:c16="http://schemas.microsoft.com/office/drawing/2014/chart" uri="{C3380CC4-5D6E-409C-BE32-E72D297353CC}">
              <c16:uniqueId val="{00000000-F34F-4B70-984B-1116ADB370EB}"/>
            </c:ext>
          </c:extLst>
        </c:ser>
        <c:ser>
          <c:idx val="1"/>
          <c:order val="1"/>
          <c:tx>
            <c:strRef>
              <c:f>Sheet3!$O$3</c:f>
              <c:strCache>
                <c:ptCount val="1"/>
                <c:pt idx="0">
                  <c:v>Sum of Actual spent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Sheet3!$O$4:$O$16</c:f>
              <c:numCache>
                <c:formatCode>General</c:formatCode>
                <c:ptCount val="12"/>
                <c:pt idx="0">
                  <c:v>7000</c:v>
                </c:pt>
                <c:pt idx="1">
                  <c:v>2500</c:v>
                </c:pt>
                <c:pt idx="2">
                  <c:v>1500</c:v>
                </c:pt>
                <c:pt idx="3">
                  <c:v>2000</c:v>
                </c:pt>
                <c:pt idx="4">
                  <c:v>3000</c:v>
                </c:pt>
                <c:pt idx="5">
                  <c:v>4000</c:v>
                </c:pt>
                <c:pt idx="6">
                  <c:v>3000</c:v>
                </c:pt>
                <c:pt idx="7">
                  <c:v>7000</c:v>
                </c:pt>
                <c:pt idx="8">
                  <c:v>6000</c:v>
                </c:pt>
                <c:pt idx="9">
                  <c:v>1000</c:v>
                </c:pt>
                <c:pt idx="10">
                  <c:v>2000</c:v>
                </c:pt>
              </c:numCache>
            </c:numRef>
          </c:val>
          <c:extLst>
            <c:ext xmlns:c16="http://schemas.microsoft.com/office/drawing/2014/chart" uri="{C3380CC4-5D6E-409C-BE32-E72D297353CC}">
              <c16:uniqueId val="{00000001-F34F-4B70-984B-1116ADB370EB}"/>
            </c:ext>
          </c:extLst>
        </c:ser>
        <c:ser>
          <c:idx val="2"/>
          <c:order val="2"/>
          <c:tx>
            <c:strRef>
              <c:f>Sheet3!$P$3</c:f>
              <c:strCache>
                <c:ptCount val="1"/>
                <c:pt idx="0">
                  <c:v>Sum of Remaining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Sheet3!$P$4:$P$16</c:f>
              <c:numCache>
                <c:formatCode>General</c:formatCode>
                <c:ptCount val="12"/>
                <c:pt idx="0">
                  <c:v>3000</c:v>
                </c:pt>
                <c:pt idx="1">
                  <c:v>500</c:v>
                </c:pt>
                <c:pt idx="2">
                  <c:v>1000</c:v>
                </c:pt>
                <c:pt idx="3">
                  <c:v>1000</c:v>
                </c:pt>
                <c:pt idx="4">
                  <c:v>2000</c:v>
                </c:pt>
                <c:pt idx="5">
                  <c:v>1000</c:v>
                </c:pt>
                <c:pt idx="6">
                  <c:v>37000</c:v>
                </c:pt>
                <c:pt idx="7">
                  <c:v>4000</c:v>
                </c:pt>
                <c:pt idx="8">
                  <c:v>1000</c:v>
                </c:pt>
                <c:pt idx="9">
                  <c:v>500</c:v>
                </c:pt>
                <c:pt idx="10">
                  <c:v>1000</c:v>
                </c:pt>
              </c:numCache>
            </c:numRef>
          </c:val>
          <c:extLst>
            <c:ext xmlns:c16="http://schemas.microsoft.com/office/drawing/2014/chart" uri="{C3380CC4-5D6E-409C-BE32-E72D297353CC}">
              <c16:uniqueId val="{00000002-F34F-4B70-984B-1116ADB370E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s>
    <c:plotArea>
      <c:layout/>
      <c:pieChart>
        <c:varyColors val="1"/>
        <c:ser>
          <c:idx val="0"/>
          <c:order val="0"/>
          <c:tx>
            <c:strRef>
              <c:f>Sheet3!$B$3</c:f>
              <c:strCache>
                <c:ptCount val="1"/>
                <c:pt idx="0">
                  <c:v>Sum of Monthly budget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B6-4ED3-B9AD-AE95190D5E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B6-4ED3-B9AD-AE95190D5E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B6-4ED3-B9AD-AE95190D5E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B6-4ED3-B9AD-AE95190D5E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B6-4ED3-B9AD-AE95190D5E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3B6-4ED3-B9AD-AE95190D5E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3B6-4ED3-B9AD-AE95190D5E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3B6-4ED3-B9AD-AE95190D5E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3B6-4ED3-B9AD-AE95190D5E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3B6-4ED3-B9AD-AE95190D5E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3B6-4ED3-B9AD-AE95190D5E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3B6-4ED3-B9AD-AE95190D5E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Sheet3!$A$4:$A$27</c:f>
              <c:multiLvlStrCache>
                <c:ptCount val="12"/>
                <c:lvl>
                  <c:pt idx="0">
                    <c:v>August</c:v>
                  </c:pt>
                  <c:pt idx="1">
                    <c:v>April</c:v>
                  </c:pt>
                  <c:pt idx="2">
                    <c:v>February</c:v>
                  </c:pt>
                  <c:pt idx="3">
                    <c:v>November</c:v>
                  </c:pt>
                  <c:pt idx="4">
                    <c:v>October</c:v>
                  </c:pt>
                  <c:pt idx="5">
                    <c:v>January</c:v>
                  </c:pt>
                  <c:pt idx="6">
                    <c:v>June</c:v>
                  </c:pt>
                  <c:pt idx="7">
                    <c:v>May</c:v>
                  </c:pt>
                  <c:pt idx="8">
                    <c:v>December</c:v>
                  </c:pt>
                  <c:pt idx="9">
                    <c:v>July</c:v>
                  </c:pt>
                  <c:pt idx="10">
                    <c:v>March</c:v>
                  </c:pt>
                  <c:pt idx="11">
                    <c:v>September</c:v>
                  </c:pt>
                </c:lvl>
                <c:lvl>
                  <c:pt idx="0">
                    <c:v>Education</c:v>
                  </c:pt>
                  <c:pt idx="1">
                    <c:v>Entertainment</c:v>
                  </c:pt>
                  <c:pt idx="2">
                    <c:v>Food</c:v>
                  </c:pt>
                  <c:pt idx="3">
                    <c:v>Freelance</c:v>
                  </c:pt>
                  <c:pt idx="4">
                    <c:v>Health care</c:v>
                  </c:pt>
                  <c:pt idx="5">
                    <c:v>Rent</c:v>
                  </c:pt>
                  <c:pt idx="6">
                    <c:v>Salary</c:v>
                  </c:pt>
                  <c:pt idx="7">
                    <c:v>Savings</c:v>
                  </c:pt>
                  <c:pt idx="9">
                    <c:v>Shopping</c:v>
                  </c:pt>
                  <c:pt idx="10">
                    <c:v>Transport</c:v>
                  </c:pt>
                  <c:pt idx="11">
                    <c:v>Utilities</c:v>
                  </c:pt>
                </c:lvl>
              </c:multiLvlStrCache>
            </c:multiLvlStrRef>
          </c:cat>
          <c:val>
            <c:numRef>
              <c:f>Sheet3!$B$4:$B$27</c:f>
              <c:numCache>
                <c:formatCode>General</c:formatCode>
                <c:ptCount val="12"/>
                <c:pt idx="0">
                  <c:v>10000</c:v>
                </c:pt>
                <c:pt idx="1">
                  <c:v>3000</c:v>
                </c:pt>
                <c:pt idx="2">
                  <c:v>2500</c:v>
                </c:pt>
                <c:pt idx="3">
                  <c:v>3000</c:v>
                </c:pt>
                <c:pt idx="4">
                  <c:v>5000</c:v>
                </c:pt>
                <c:pt idx="5">
                  <c:v>5000</c:v>
                </c:pt>
                <c:pt idx="6">
                  <c:v>40000</c:v>
                </c:pt>
                <c:pt idx="7">
                  <c:v>6000</c:v>
                </c:pt>
                <c:pt idx="8">
                  <c:v>5000</c:v>
                </c:pt>
                <c:pt idx="9">
                  <c:v>7000</c:v>
                </c:pt>
                <c:pt idx="10">
                  <c:v>1500</c:v>
                </c:pt>
                <c:pt idx="11">
                  <c:v>3000</c:v>
                </c:pt>
              </c:numCache>
            </c:numRef>
          </c:val>
          <c:extLst>
            <c:ext xmlns:c16="http://schemas.microsoft.com/office/drawing/2014/chart" uri="{C3380CC4-5D6E-409C-BE32-E72D297353CC}">
              <c16:uniqueId val="{00000018-13B6-4ED3-B9AD-AE95190D5E08}"/>
            </c:ext>
          </c:extLst>
        </c:ser>
        <c:ser>
          <c:idx val="1"/>
          <c:order val="1"/>
          <c:tx>
            <c:strRef>
              <c:f>Sheet3!$C$3</c:f>
              <c:strCache>
                <c:ptCount val="1"/>
                <c:pt idx="0">
                  <c:v>Sum of Actual spent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A-13B6-4ED3-B9AD-AE95190D5E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C-13B6-4ED3-B9AD-AE95190D5E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E-13B6-4ED3-B9AD-AE95190D5E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0-13B6-4ED3-B9AD-AE95190D5E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2-13B6-4ED3-B9AD-AE95190D5E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4-13B6-4ED3-B9AD-AE95190D5E0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6-13B6-4ED3-B9AD-AE95190D5E0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8-13B6-4ED3-B9AD-AE95190D5E0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A-13B6-4ED3-B9AD-AE95190D5E0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C-13B6-4ED3-B9AD-AE95190D5E0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E-13B6-4ED3-B9AD-AE95190D5E0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0-13B6-4ED3-B9AD-AE95190D5E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Sheet3!$A$4:$A$27</c:f>
              <c:multiLvlStrCache>
                <c:ptCount val="12"/>
                <c:lvl>
                  <c:pt idx="0">
                    <c:v>August</c:v>
                  </c:pt>
                  <c:pt idx="1">
                    <c:v>April</c:v>
                  </c:pt>
                  <c:pt idx="2">
                    <c:v>February</c:v>
                  </c:pt>
                  <c:pt idx="3">
                    <c:v>November</c:v>
                  </c:pt>
                  <c:pt idx="4">
                    <c:v>October</c:v>
                  </c:pt>
                  <c:pt idx="5">
                    <c:v>January</c:v>
                  </c:pt>
                  <c:pt idx="6">
                    <c:v>June</c:v>
                  </c:pt>
                  <c:pt idx="7">
                    <c:v>May</c:v>
                  </c:pt>
                  <c:pt idx="8">
                    <c:v>December</c:v>
                  </c:pt>
                  <c:pt idx="9">
                    <c:v>July</c:v>
                  </c:pt>
                  <c:pt idx="10">
                    <c:v>March</c:v>
                  </c:pt>
                  <c:pt idx="11">
                    <c:v>September</c:v>
                  </c:pt>
                </c:lvl>
                <c:lvl>
                  <c:pt idx="0">
                    <c:v>Education</c:v>
                  </c:pt>
                  <c:pt idx="1">
                    <c:v>Entertainment</c:v>
                  </c:pt>
                  <c:pt idx="2">
                    <c:v>Food</c:v>
                  </c:pt>
                  <c:pt idx="3">
                    <c:v>Freelance</c:v>
                  </c:pt>
                  <c:pt idx="4">
                    <c:v>Health care</c:v>
                  </c:pt>
                  <c:pt idx="5">
                    <c:v>Rent</c:v>
                  </c:pt>
                  <c:pt idx="6">
                    <c:v>Salary</c:v>
                  </c:pt>
                  <c:pt idx="7">
                    <c:v>Savings</c:v>
                  </c:pt>
                  <c:pt idx="9">
                    <c:v>Shopping</c:v>
                  </c:pt>
                  <c:pt idx="10">
                    <c:v>Transport</c:v>
                  </c:pt>
                  <c:pt idx="11">
                    <c:v>Utilities</c:v>
                  </c:pt>
                </c:lvl>
              </c:multiLvlStrCache>
            </c:multiLvlStrRef>
          </c:cat>
          <c:val>
            <c:numRef>
              <c:f>Sheet3!$C$4:$C$27</c:f>
              <c:numCache>
                <c:formatCode>General</c:formatCode>
                <c:ptCount val="12"/>
                <c:pt idx="0">
                  <c:v>7000</c:v>
                </c:pt>
                <c:pt idx="1">
                  <c:v>2500</c:v>
                </c:pt>
                <c:pt idx="2">
                  <c:v>1500</c:v>
                </c:pt>
                <c:pt idx="3">
                  <c:v>2000</c:v>
                </c:pt>
                <c:pt idx="4">
                  <c:v>3000</c:v>
                </c:pt>
                <c:pt idx="5">
                  <c:v>4000</c:v>
                </c:pt>
                <c:pt idx="6">
                  <c:v>3000</c:v>
                </c:pt>
                <c:pt idx="7">
                  <c:v>5000</c:v>
                </c:pt>
                <c:pt idx="8">
                  <c:v>2000</c:v>
                </c:pt>
                <c:pt idx="9">
                  <c:v>6000</c:v>
                </c:pt>
                <c:pt idx="10">
                  <c:v>1000</c:v>
                </c:pt>
                <c:pt idx="11">
                  <c:v>2000</c:v>
                </c:pt>
              </c:numCache>
            </c:numRef>
          </c:val>
          <c:extLst>
            <c:ext xmlns:c16="http://schemas.microsoft.com/office/drawing/2014/chart" uri="{C3380CC4-5D6E-409C-BE32-E72D297353CC}">
              <c16:uniqueId val="{00000031-13B6-4ED3-B9AD-AE95190D5E0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Sheet3!$F$3</c:f>
              <c:strCache>
                <c:ptCount val="1"/>
                <c:pt idx="0">
                  <c:v>Sum of Monthly budget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Sheet3!$F$4:$F$16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extLst>
            <c:ext xmlns:c16="http://schemas.microsoft.com/office/drawing/2014/chart" uri="{C3380CC4-5D6E-409C-BE32-E72D297353CC}">
              <c16:uniqueId val="{00000000-FCA6-4737-84CB-6C8D17FE1BFE}"/>
            </c:ext>
          </c:extLst>
        </c:ser>
        <c:ser>
          <c:idx val="1"/>
          <c:order val="1"/>
          <c:tx>
            <c:strRef>
              <c:f>Sheet3!$G$3</c:f>
              <c:strCache>
                <c:ptCount val="1"/>
                <c:pt idx="0">
                  <c:v>Sum of Remaining</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Sheet3!$E$4:$E$16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Sheet3!$G$4:$G$16</c:f>
              <c:numCache>
                <c:formatCode>General</c:formatCode>
                <c:ptCount val="12"/>
                <c:pt idx="0">
                  <c:v>3000</c:v>
                </c:pt>
                <c:pt idx="1">
                  <c:v>500</c:v>
                </c:pt>
                <c:pt idx="2">
                  <c:v>1000</c:v>
                </c:pt>
                <c:pt idx="3">
                  <c:v>1000</c:v>
                </c:pt>
                <c:pt idx="4">
                  <c:v>2000</c:v>
                </c:pt>
                <c:pt idx="5">
                  <c:v>1000</c:v>
                </c:pt>
                <c:pt idx="6">
                  <c:v>37000</c:v>
                </c:pt>
                <c:pt idx="7">
                  <c:v>4000</c:v>
                </c:pt>
                <c:pt idx="8">
                  <c:v>1000</c:v>
                </c:pt>
                <c:pt idx="9">
                  <c:v>500</c:v>
                </c:pt>
                <c:pt idx="10">
                  <c:v>1000</c:v>
                </c:pt>
              </c:numCache>
            </c:numRef>
          </c:val>
          <c:extLst>
            <c:ext xmlns:c16="http://schemas.microsoft.com/office/drawing/2014/chart" uri="{C3380CC4-5D6E-409C-BE32-E72D297353CC}">
              <c16:uniqueId val="{00000001-FCA6-4737-84CB-6C8D17FE1BFE}"/>
            </c:ext>
          </c:extLst>
        </c:ser>
        <c:dLbls>
          <c:dLblPos val="outEnd"/>
          <c:showLegendKey val="0"/>
          <c:showVal val="1"/>
          <c:showCatName val="0"/>
          <c:showSerName val="0"/>
          <c:showPercent val="0"/>
          <c:showBubbleSize val="0"/>
        </c:dLbls>
        <c:gapWidth val="219"/>
        <c:overlap val="-27"/>
        <c:axId val="694288671"/>
        <c:axId val="694283871"/>
      </c:barChart>
      <c:catAx>
        <c:axId val="69428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83871"/>
        <c:crosses val="autoZero"/>
        <c:auto val="1"/>
        <c:lblAlgn val="ctr"/>
        <c:lblOffset val="100"/>
        <c:noMultiLvlLbl val="0"/>
      </c:catAx>
      <c:valAx>
        <c:axId val="694283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428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[Satya.xlsx]Sheet3!PivotTable4</c:name>
    <c:fmtId val="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Sheet3!$J$3</c:f>
              <c:strCache>
                <c:ptCount val="1"/>
                <c:pt idx="0">
                  <c:v>Sum of Monthly budget</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Sheet3!$I$4:$I$16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Sheet3!$J$4:$J$16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smooth val="0"/>
          <c:extLst>
            <c:ext xmlns:c16="http://schemas.microsoft.com/office/drawing/2014/chart" uri="{C3380CC4-5D6E-409C-BE32-E72D297353CC}">
              <c16:uniqueId val="{00000000-8DA5-44CF-A49A-63369FC32219}"/>
            </c:ext>
          </c:extLst>
        </c:ser>
        <c:ser>
          <c:idx val="1"/>
          <c:order val="1"/>
          <c:tx>
            <c:strRef>
              <c:f>Sheet3!$K$3</c:f>
              <c:strCache>
                <c:ptCount val="1"/>
                <c:pt idx="0">
                  <c:v>Sum of Actual spent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Sheet3!$I$4:$I$16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Sheet3!$K$4:$K$16</c:f>
              <c:numCache>
                <c:formatCode>General</c:formatCode>
                <c:ptCount val="12"/>
                <c:pt idx="0">
                  <c:v>7000</c:v>
                </c:pt>
                <c:pt idx="1">
                  <c:v>2500</c:v>
                </c:pt>
                <c:pt idx="2">
                  <c:v>1500</c:v>
                </c:pt>
                <c:pt idx="3">
                  <c:v>2000</c:v>
                </c:pt>
                <c:pt idx="4">
                  <c:v>3000</c:v>
                </c:pt>
                <c:pt idx="5">
                  <c:v>4000</c:v>
                </c:pt>
                <c:pt idx="6">
                  <c:v>3000</c:v>
                </c:pt>
                <c:pt idx="7">
                  <c:v>7000</c:v>
                </c:pt>
                <c:pt idx="8">
                  <c:v>6000</c:v>
                </c:pt>
                <c:pt idx="9">
                  <c:v>1000</c:v>
                </c:pt>
                <c:pt idx="10">
                  <c:v>2000</c:v>
                </c:pt>
              </c:numCache>
            </c:numRef>
          </c:val>
          <c:smooth val="0"/>
          <c:extLst>
            <c:ext xmlns:c16="http://schemas.microsoft.com/office/drawing/2014/chart" uri="{C3380CC4-5D6E-409C-BE32-E72D297353CC}">
              <c16:uniqueId val="{00000001-8DA5-44CF-A49A-63369FC32219}"/>
            </c:ext>
          </c:extLst>
        </c:ser>
        <c:dLbls>
          <c:dLblPos val="t"/>
          <c:showLegendKey val="0"/>
          <c:showVal val="1"/>
          <c:showCatName val="0"/>
          <c:showSerName val="0"/>
          <c:showPercent val="0"/>
          <c:showBubbleSize val="0"/>
        </c:dLbls>
        <c:smooth val="0"/>
        <c:axId val="788703279"/>
        <c:axId val="788703759"/>
      </c:lineChart>
      <c:catAx>
        <c:axId val="7887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03759"/>
        <c:crosses val="autoZero"/>
        <c:auto val="1"/>
        <c:lblAlgn val="ctr"/>
        <c:lblOffset val="100"/>
        <c:noMultiLvlLbl val="0"/>
      </c:catAx>
      <c:valAx>
        <c:axId val="7887037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0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[Satya.xlsx]Sheet3!PivotTable6</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750333357179164"/>
          <c:y val="0.20434841966041559"/>
          <c:w val="0.37881863018574219"/>
          <c:h val="0.59130316067916877"/>
        </c:manualLayout>
      </c:layout>
      <c:pieChart>
        <c:varyColors val="1"/>
        <c:ser>
          <c:idx val="0"/>
          <c:order val="0"/>
          <c:tx>
            <c:strRef>
              <c:f>Sheet3!$N$3</c:f>
              <c:strCache>
                <c:ptCount val="1"/>
                <c:pt idx="0">
                  <c:v>Sum of Monthly budget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E9-4829-AE21-FAE8764FA6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E9-4829-AE21-FAE8764FA6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E9-4829-AE21-FAE8764FA6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E9-4829-AE21-FAE8764FA67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6E9-4829-AE21-FAE8764FA67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6E9-4829-AE21-FAE8764FA67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86E9-4829-AE21-FAE8764FA67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86E9-4829-AE21-FAE8764FA67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86E9-4829-AE21-FAE8764FA67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6E9-4829-AE21-FAE8764FA67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86E9-4829-AE21-FAE8764FA67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86E9-4829-AE21-FAE8764FA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Sheet3!$N$4:$N$16</c:f>
              <c:numCache>
                <c:formatCode>General</c:formatCode>
                <c:ptCount val="12"/>
                <c:pt idx="0">
                  <c:v>10000</c:v>
                </c:pt>
                <c:pt idx="1">
                  <c:v>3000</c:v>
                </c:pt>
                <c:pt idx="2">
                  <c:v>2500</c:v>
                </c:pt>
                <c:pt idx="3">
                  <c:v>3000</c:v>
                </c:pt>
                <c:pt idx="4">
                  <c:v>5000</c:v>
                </c:pt>
                <c:pt idx="5">
                  <c:v>5000</c:v>
                </c:pt>
                <c:pt idx="6">
                  <c:v>40000</c:v>
                </c:pt>
                <c:pt idx="7">
                  <c:v>11000</c:v>
                </c:pt>
                <c:pt idx="8">
                  <c:v>7000</c:v>
                </c:pt>
                <c:pt idx="9">
                  <c:v>1500</c:v>
                </c:pt>
                <c:pt idx="10">
                  <c:v>3000</c:v>
                </c:pt>
              </c:numCache>
            </c:numRef>
          </c:val>
          <c:extLst>
            <c:ext xmlns:c16="http://schemas.microsoft.com/office/drawing/2014/chart" uri="{C3380CC4-5D6E-409C-BE32-E72D297353CC}">
              <c16:uniqueId val="{00000018-86E9-4829-AE21-FAE8764FA677}"/>
            </c:ext>
          </c:extLst>
        </c:ser>
        <c:ser>
          <c:idx val="1"/>
          <c:order val="1"/>
          <c:tx>
            <c:strRef>
              <c:f>Sheet3!$O$3</c:f>
              <c:strCache>
                <c:ptCount val="1"/>
                <c:pt idx="0">
                  <c:v>Sum of Actual spent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86E9-4829-AE21-FAE8764FA6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86E9-4829-AE21-FAE8764FA6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86E9-4829-AE21-FAE8764FA6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86E9-4829-AE21-FAE8764FA67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86E9-4829-AE21-FAE8764FA67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86E9-4829-AE21-FAE8764FA67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86E9-4829-AE21-FAE8764FA67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86E9-4829-AE21-FAE8764FA67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86E9-4829-AE21-FAE8764FA67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86E9-4829-AE21-FAE8764FA67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E-86E9-4829-AE21-FAE8764FA67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0-86E9-4829-AE21-FAE8764FA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Sheet3!$O$4:$O$16</c:f>
              <c:numCache>
                <c:formatCode>General</c:formatCode>
                <c:ptCount val="12"/>
                <c:pt idx="0">
                  <c:v>7000</c:v>
                </c:pt>
                <c:pt idx="1">
                  <c:v>2500</c:v>
                </c:pt>
                <c:pt idx="2">
                  <c:v>1500</c:v>
                </c:pt>
                <c:pt idx="3">
                  <c:v>2000</c:v>
                </c:pt>
                <c:pt idx="4">
                  <c:v>3000</c:v>
                </c:pt>
                <c:pt idx="5">
                  <c:v>4000</c:v>
                </c:pt>
                <c:pt idx="6">
                  <c:v>3000</c:v>
                </c:pt>
                <c:pt idx="7">
                  <c:v>7000</c:v>
                </c:pt>
                <c:pt idx="8">
                  <c:v>6000</c:v>
                </c:pt>
                <c:pt idx="9">
                  <c:v>1000</c:v>
                </c:pt>
                <c:pt idx="10">
                  <c:v>2000</c:v>
                </c:pt>
              </c:numCache>
            </c:numRef>
          </c:val>
          <c:extLst>
            <c:ext xmlns:c16="http://schemas.microsoft.com/office/drawing/2014/chart" uri="{C3380CC4-5D6E-409C-BE32-E72D297353CC}">
              <c16:uniqueId val="{00000031-86E9-4829-AE21-FAE8764FA677}"/>
            </c:ext>
          </c:extLst>
        </c:ser>
        <c:ser>
          <c:idx val="2"/>
          <c:order val="2"/>
          <c:tx>
            <c:strRef>
              <c:f>Sheet3!$P$3</c:f>
              <c:strCache>
                <c:ptCount val="1"/>
                <c:pt idx="0">
                  <c:v>Sum of Remaining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86E9-4829-AE21-FAE8764FA67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86E9-4829-AE21-FAE8764FA67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86E9-4829-AE21-FAE8764FA67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86E9-4829-AE21-FAE8764FA67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86E9-4829-AE21-FAE8764FA67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86E9-4829-AE21-FAE8764FA67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86E9-4829-AE21-FAE8764FA67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86E9-4829-AE21-FAE8764FA67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86E9-4829-AE21-FAE8764FA67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86E9-4829-AE21-FAE8764FA67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86E9-4829-AE21-FAE8764FA67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86E9-4829-AE21-FAE8764FA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Sheet3!$M$4:$M$16</c:f>
              <c:strCache>
                <c:ptCount val="12"/>
                <c:pt idx="0">
                  <c:v>Education</c:v>
                </c:pt>
                <c:pt idx="1">
                  <c:v>Entertainment</c:v>
                </c:pt>
                <c:pt idx="2">
                  <c:v>Food</c:v>
                </c:pt>
                <c:pt idx="3">
                  <c:v>Freelance</c:v>
                </c:pt>
                <c:pt idx="4">
                  <c:v>Health care</c:v>
                </c:pt>
                <c:pt idx="5">
                  <c:v>Rent</c:v>
                </c:pt>
                <c:pt idx="6">
                  <c:v>Salary</c:v>
                </c:pt>
                <c:pt idx="7">
                  <c:v>Savings</c:v>
                </c:pt>
                <c:pt idx="8">
                  <c:v>Shopping</c:v>
                </c:pt>
                <c:pt idx="9">
                  <c:v>Transport</c:v>
                </c:pt>
                <c:pt idx="10">
                  <c:v>Utilities</c:v>
                </c:pt>
                <c:pt idx="11">
                  <c:v>(blank)</c:v>
                </c:pt>
              </c:strCache>
            </c:strRef>
          </c:cat>
          <c:val>
            <c:numRef>
              <c:f>Sheet3!$P$4:$P$16</c:f>
              <c:numCache>
                <c:formatCode>General</c:formatCode>
                <c:ptCount val="12"/>
                <c:pt idx="0">
                  <c:v>3000</c:v>
                </c:pt>
                <c:pt idx="1">
                  <c:v>500</c:v>
                </c:pt>
                <c:pt idx="2">
                  <c:v>1000</c:v>
                </c:pt>
                <c:pt idx="3">
                  <c:v>1000</c:v>
                </c:pt>
                <c:pt idx="4">
                  <c:v>2000</c:v>
                </c:pt>
                <c:pt idx="5">
                  <c:v>1000</c:v>
                </c:pt>
                <c:pt idx="6">
                  <c:v>37000</c:v>
                </c:pt>
                <c:pt idx="7">
                  <c:v>4000</c:v>
                </c:pt>
                <c:pt idx="8">
                  <c:v>1000</c:v>
                </c:pt>
                <c:pt idx="9">
                  <c:v>500</c:v>
                </c:pt>
                <c:pt idx="10">
                  <c:v>1000</c:v>
                </c:pt>
              </c:numCache>
            </c:numRef>
          </c:val>
          <c:extLst>
            <c:ext xmlns:c16="http://schemas.microsoft.com/office/drawing/2014/chart" uri="{C3380CC4-5D6E-409C-BE32-E72D297353CC}">
              <c16:uniqueId val="{0000004A-86E9-4829-AE21-FAE8764FA67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169470</xdr:colOff>
      <xdr:row>27</xdr:row>
      <xdr:rowOff>137556</xdr:rowOff>
    </xdr:from>
    <xdr:to>
      <xdr:col>3</xdr:col>
      <xdr:colOff>395844</xdr:colOff>
      <xdr:row>40</xdr:row>
      <xdr:rowOff>136072</xdr:rowOff>
    </xdr:to>
    <xdr:graphicFrame macro="">
      <xdr:nvGraphicFramePr>
        <xdr:cNvPr id="2" name="Chart 1">
          <a:extLst>
            <a:ext uri="{FF2B5EF4-FFF2-40B4-BE49-F238E27FC236}">
              <a16:creationId xmlns:a16="http://schemas.microsoft.com/office/drawing/2014/main" id="{06E58002-B4D1-F492-B608-B9422F2DD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484908</xdr:colOff>
      <xdr:row>17</xdr:row>
      <xdr:rowOff>12370</xdr:rowOff>
    </xdr:from>
    <xdr:to>
      <xdr:col>7</xdr:col>
      <xdr:colOff>346363</xdr:colOff>
      <xdr:row>31</xdr:row>
      <xdr:rowOff>24741</xdr:rowOff>
    </xdr:to>
    <xdr:graphicFrame macro="">
      <xdr:nvGraphicFramePr>
        <xdr:cNvPr id="4" name="Chart 3">
          <a:extLst>
            <a:ext uri="{FF2B5EF4-FFF2-40B4-BE49-F238E27FC236}">
              <a16:creationId xmlns:a16="http://schemas.microsoft.com/office/drawing/2014/main" id="{C8EA30CF-B55F-75D0-21F9-09D607E85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522018</xdr:colOff>
      <xdr:row>18</xdr:row>
      <xdr:rowOff>1484</xdr:rowOff>
    </xdr:from>
    <xdr:to>
      <xdr:col>11</xdr:col>
      <xdr:colOff>346363</xdr:colOff>
      <xdr:row>33</xdr:row>
      <xdr:rowOff>61851</xdr:rowOff>
    </xdr:to>
    <xdr:graphicFrame macro="">
      <xdr:nvGraphicFramePr>
        <xdr:cNvPr id="5" name="Chart 4">
          <a:extLst>
            <a:ext uri="{FF2B5EF4-FFF2-40B4-BE49-F238E27FC236}">
              <a16:creationId xmlns:a16="http://schemas.microsoft.com/office/drawing/2014/main" id="{0B79A5C2-7177-8906-123E-271727EE10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732311</xdr:colOff>
      <xdr:row>17</xdr:row>
      <xdr:rowOff>88076</xdr:rowOff>
    </xdr:from>
    <xdr:to>
      <xdr:col>15</xdr:col>
      <xdr:colOff>816428</xdr:colOff>
      <xdr:row>31</xdr:row>
      <xdr:rowOff>24741</xdr:rowOff>
    </xdr:to>
    <xdr:graphicFrame macro="">
      <xdr:nvGraphicFramePr>
        <xdr:cNvPr id="6" name="Chart 5">
          <a:extLst>
            <a:ext uri="{FF2B5EF4-FFF2-40B4-BE49-F238E27FC236}">
              <a16:creationId xmlns:a16="http://schemas.microsoft.com/office/drawing/2014/main" id="{90C8D680-FD41-CDF2-8792-7C2E8785F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390525</xdr:colOff>
      <xdr:row>35</xdr:row>
      <xdr:rowOff>48739</xdr:rowOff>
    </xdr:from>
    <xdr:to>
      <xdr:col>5</xdr:col>
      <xdr:colOff>1316305</xdr:colOff>
      <xdr:row>48</xdr:row>
      <xdr:rowOff>160688</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78FA6896-D39D-E089-309F-0AABF2A9DCB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94291" y="65430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99827</xdr:colOff>
      <xdr:row>35</xdr:row>
      <xdr:rowOff>54925</xdr:rowOff>
    </xdr:from>
    <xdr:to>
      <xdr:col>8</xdr:col>
      <xdr:colOff>110218</xdr:colOff>
      <xdr:row>48</xdr:row>
      <xdr:rowOff>166874</xdr:rowOff>
    </xdr:to>
    <mc:AlternateContent xmlns:mc="http://schemas.openxmlformats.org/markup-compatibility/2006">
      <mc:Choice xmlns:a14="http://schemas.microsoft.com/office/drawing/2010/main" Requires="a14">
        <xdr:graphicFrame macro="">
          <xdr:nvGraphicFramePr>
            <xdr:cNvPr id="8" name="Actual spent">
              <a:extLst>
                <a:ext uri="{FF2B5EF4-FFF2-40B4-BE49-F238E27FC236}">
                  <a16:creationId xmlns:a16="http://schemas.microsoft.com/office/drawing/2014/main" id="{08C640F0-4219-F68C-D3A7-A0393E7F9A15}"/>
                </a:ext>
              </a:extLst>
            </xdr:cNvPr>
            <xdr:cNvGraphicFramePr/>
          </xdr:nvGraphicFramePr>
          <xdr:xfrm>
            <a:off x="0" y="0"/>
            <a:ext cx="0" cy="0"/>
          </xdr:xfrm>
          <a:graphic>
            <a:graphicData uri="http://schemas.microsoft.com/office/drawing/2010/slicer">
              <sle:slicer xmlns:sle="http://schemas.microsoft.com/office/drawing/2010/slicer" name="Actual spent"/>
            </a:graphicData>
          </a:graphic>
        </xdr:graphicFrame>
      </mc:Choice>
      <mc:Fallback>
        <xdr:sp macro="" textlink="">
          <xdr:nvSpPr>
            <xdr:cNvPr id="0" name=""/>
            <xdr:cNvSpPr>
              <a:spLocks noTextEdit="1"/>
            </xdr:cNvSpPr>
          </xdr:nvSpPr>
          <xdr:spPr>
            <a:xfrm>
              <a:off x="6853918" y="654924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217343</xdr:colOff>
      <xdr:row>35</xdr:row>
      <xdr:rowOff>48739</xdr:rowOff>
    </xdr:from>
    <xdr:to>
      <xdr:col>9</xdr:col>
      <xdr:colOff>1056533</xdr:colOff>
      <xdr:row>48</xdr:row>
      <xdr:rowOff>160688</xdr:rowOff>
    </xdr:to>
    <mc:AlternateContent xmlns:mc="http://schemas.openxmlformats.org/markup-compatibility/2006">
      <mc:Choice xmlns:a14="http://schemas.microsoft.com/office/drawing/2010/main" Requires="a14">
        <xdr:graphicFrame macro="">
          <xdr:nvGraphicFramePr>
            <xdr:cNvPr id="9" name="Remaining">
              <a:extLst>
                <a:ext uri="{FF2B5EF4-FFF2-40B4-BE49-F238E27FC236}">
                  <a16:creationId xmlns:a16="http://schemas.microsoft.com/office/drawing/2014/main" id="{4FC34F0A-12E9-80ED-4D0F-07908D8C7557}"/>
                </a:ext>
              </a:extLst>
            </xdr:cNvPr>
            <xdr:cNvGraphicFramePr/>
          </xdr:nvGraphicFramePr>
          <xdr:xfrm>
            <a:off x="0" y="0"/>
            <a:ext cx="0" cy="0"/>
          </xdr:xfrm>
          <a:graphic>
            <a:graphicData uri="http://schemas.microsoft.com/office/drawing/2010/slicer">
              <sle:slicer xmlns:sle="http://schemas.microsoft.com/office/drawing/2010/slicer" name="Remaining"/>
            </a:graphicData>
          </a:graphic>
        </xdr:graphicFrame>
      </mc:Choice>
      <mc:Fallback>
        <xdr:sp macro="" textlink="">
          <xdr:nvSpPr>
            <xdr:cNvPr id="0" name=""/>
            <xdr:cNvSpPr>
              <a:spLocks noTextEdit="1"/>
            </xdr:cNvSpPr>
          </xdr:nvSpPr>
          <xdr:spPr>
            <a:xfrm>
              <a:off x="8789843" y="654305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180974</xdr:colOff>
      <xdr:row>0</xdr:row>
      <xdr:rowOff>114300</xdr:rowOff>
    </xdr:from>
    <xdr:to>
      <xdr:col>17</xdr:col>
      <xdr:colOff>552449</xdr:colOff>
      <xdr:row>6</xdr:row>
      <xdr:rowOff>0</xdr:rowOff>
    </xdr:to>
    <xdr:sp macro="" textlink="">
      <xdr:nvSpPr>
        <xdr:cNvPr id="2" name="Rectangle: Rounded Corners 1">
          <a:extLst>
            <a:ext uri="{FF2B5EF4-FFF2-40B4-BE49-F238E27FC236}">
              <a16:creationId xmlns:a16="http://schemas.microsoft.com/office/drawing/2014/main" id="{676640D2-9661-66CF-AF97-6852B8D0AA96}"/>
            </a:ext>
          </a:extLst>
        </xdr:cNvPr>
        <xdr:cNvSpPr/>
      </xdr:nvSpPr>
      <xdr:spPr>
        <a:xfrm>
          <a:off x="790574" y="114300"/>
          <a:ext cx="10125075" cy="102870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133349</xdr:colOff>
      <xdr:row>1</xdr:row>
      <xdr:rowOff>171450</xdr:rowOff>
    </xdr:from>
    <xdr:to>
      <xdr:col>17</xdr:col>
      <xdr:colOff>161924</xdr:colOff>
      <xdr:row>4</xdr:row>
      <xdr:rowOff>152400</xdr:rowOff>
    </xdr:to>
    <xdr:sp macro="" textlink="">
      <xdr:nvSpPr>
        <xdr:cNvPr id="3" name="TextBox 2">
          <a:extLst>
            <a:ext uri="{FF2B5EF4-FFF2-40B4-BE49-F238E27FC236}">
              <a16:creationId xmlns:a16="http://schemas.microsoft.com/office/drawing/2014/main" id="{27825021-0B33-FED7-3062-E4CC180B020D}"/>
            </a:ext>
          </a:extLst>
        </xdr:cNvPr>
        <xdr:cNvSpPr txBox="1"/>
      </xdr:nvSpPr>
      <xdr:spPr>
        <a:xfrm>
          <a:off x="1352549" y="361950"/>
          <a:ext cx="9172575" cy="552450"/>
        </a:xfrm>
        <a:prstGeom prst="rect">
          <a:avLst/>
        </a:prstGeom>
        <a:ln>
          <a:noFill/>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ctr"/>
        <a:lstStyle/>
        <a:p>
          <a:pPr algn="ctr"/>
          <a:r>
            <a:rPr lang="en-US" sz="2800" b="1" i="1">
              <a:solidFill>
                <a:schemeClr val="tx1"/>
              </a:solidFill>
              <a:latin typeface="Cascadia Code" panose="020B0609020000020004" pitchFamily="49" charset="0"/>
              <a:ea typeface="Cascadia Code" panose="020B0609020000020004" pitchFamily="49" charset="0"/>
              <a:cs typeface="Cascadia Code" panose="020B0609020000020004" pitchFamily="49" charset="0"/>
            </a:rPr>
            <a:t>PERSONAL</a:t>
          </a:r>
          <a:r>
            <a:rPr lang="en-US" sz="2800" b="1" i="1" baseline="0">
              <a:solidFill>
                <a:schemeClr val="tx1"/>
              </a:solidFill>
              <a:latin typeface="Cascadia Code" panose="020B0609020000020004" pitchFamily="49" charset="0"/>
              <a:ea typeface="Cascadia Code" panose="020B0609020000020004" pitchFamily="49" charset="0"/>
              <a:cs typeface="Cascadia Code" panose="020B0609020000020004" pitchFamily="49" charset="0"/>
            </a:rPr>
            <a:t> FINANCE BUDGET DASHBOARD</a:t>
          </a:r>
          <a:endParaRPr lang="en-US" sz="2800" b="1" i="1">
            <a:solidFill>
              <a:schemeClr val="tx1"/>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0</xdr:col>
      <xdr:colOff>142875</xdr:colOff>
      <xdr:row>10</xdr:row>
      <xdr:rowOff>180975</xdr:rowOff>
    </xdr:from>
    <xdr:to>
      <xdr:col>6</xdr:col>
      <xdr:colOff>171450</xdr:colOff>
      <xdr:row>23</xdr:row>
      <xdr:rowOff>164647</xdr:rowOff>
    </xdr:to>
    <xdr:graphicFrame macro="">
      <xdr:nvGraphicFramePr>
        <xdr:cNvPr id="4" name="Chart 3">
          <a:extLst>
            <a:ext uri="{FF2B5EF4-FFF2-40B4-BE49-F238E27FC236}">
              <a16:creationId xmlns:a16="http://schemas.microsoft.com/office/drawing/2014/main" id="{EB0A595B-D8EB-47F7-A0B0-6ACF9F534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11</xdr:row>
      <xdr:rowOff>1</xdr:rowOff>
    </xdr:from>
    <xdr:to>
      <xdr:col>13</xdr:col>
      <xdr:colOff>209550</xdr:colOff>
      <xdr:row>23</xdr:row>
      <xdr:rowOff>152401</xdr:rowOff>
    </xdr:to>
    <xdr:graphicFrame macro="">
      <xdr:nvGraphicFramePr>
        <xdr:cNvPr id="5" name="Chart 4">
          <a:extLst>
            <a:ext uri="{FF2B5EF4-FFF2-40B4-BE49-F238E27FC236}">
              <a16:creationId xmlns:a16="http://schemas.microsoft.com/office/drawing/2014/main" id="{254C17F9-4BEC-41B8-AB02-B1F16BB3E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123826</xdr:colOff>
      <xdr:row>11</xdr:row>
      <xdr:rowOff>9526</xdr:rowOff>
    </xdr:from>
    <xdr:to>
      <xdr:col>19</xdr:col>
      <xdr:colOff>400050</xdr:colOff>
      <xdr:row>23</xdr:row>
      <xdr:rowOff>142875</xdr:rowOff>
    </xdr:to>
    <xdr:graphicFrame macro="">
      <xdr:nvGraphicFramePr>
        <xdr:cNvPr id="6" name="Chart 5">
          <a:extLst>
            <a:ext uri="{FF2B5EF4-FFF2-40B4-BE49-F238E27FC236}">
              <a16:creationId xmlns:a16="http://schemas.microsoft.com/office/drawing/2014/main" id="{2D53960E-A0AC-4DA8-ACC6-AED69B972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180975</xdr:colOff>
      <xdr:row>26</xdr:row>
      <xdr:rowOff>95250</xdr:rowOff>
    </xdr:from>
    <xdr:to>
      <xdr:col>6</xdr:col>
      <xdr:colOff>209550</xdr:colOff>
      <xdr:row>41</xdr:row>
      <xdr:rowOff>24741</xdr:rowOff>
    </xdr:to>
    <xdr:graphicFrame macro="">
      <xdr:nvGraphicFramePr>
        <xdr:cNvPr id="7" name="Chart 6">
          <a:extLst>
            <a:ext uri="{FF2B5EF4-FFF2-40B4-BE49-F238E27FC236}">
              <a16:creationId xmlns:a16="http://schemas.microsoft.com/office/drawing/2014/main" id="{DBEE3F70-672C-414A-A0E1-540A9E942D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26</xdr:row>
      <xdr:rowOff>58264</xdr:rowOff>
    </xdr:from>
    <xdr:to>
      <xdr:col>10</xdr:col>
      <xdr:colOff>1855</xdr:colOff>
      <xdr:row>39</xdr:row>
      <xdr:rowOff>170213</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35DA63E2-FD3E-46FB-8D46-D203565C572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267200" y="5011264"/>
              <a:ext cx="1830655" cy="2588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299852</xdr:colOff>
      <xdr:row>26</xdr:row>
      <xdr:rowOff>73975</xdr:rowOff>
    </xdr:from>
    <xdr:to>
      <xdr:col>13</xdr:col>
      <xdr:colOff>300718</xdr:colOff>
      <xdr:row>39</xdr:row>
      <xdr:rowOff>185924</xdr:rowOff>
    </xdr:to>
    <mc:AlternateContent xmlns:mc="http://schemas.openxmlformats.org/markup-compatibility/2006">
      <mc:Choice xmlns:a14="http://schemas.microsoft.com/office/drawing/2010/main" Requires="a14">
        <xdr:graphicFrame macro="">
          <xdr:nvGraphicFramePr>
            <xdr:cNvPr id="9" name="Actual spent 1">
              <a:extLst>
                <a:ext uri="{FF2B5EF4-FFF2-40B4-BE49-F238E27FC236}">
                  <a16:creationId xmlns:a16="http://schemas.microsoft.com/office/drawing/2014/main" id="{FAC907BF-0644-4D00-AC38-051144CEE6A7}"/>
                </a:ext>
              </a:extLst>
            </xdr:cNvPr>
            <xdr:cNvGraphicFramePr/>
          </xdr:nvGraphicFramePr>
          <xdr:xfrm>
            <a:off x="0" y="0"/>
            <a:ext cx="0" cy="0"/>
          </xdr:xfrm>
          <a:graphic>
            <a:graphicData uri="http://schemas.microsoft.com/office/drawing/2010/slicer">
              <sle:slicer xmlns:sle="http://schemas.microsoft.com/office/drawing/2010/slicer" name="Actual spent 1"/>
            </a:graphicData>
          </a:graphic>
        </xdr:graphicFrame>
      </mc:Choice>
      <mc:Fallback>
        <xdr:sp macro="" textlink="">
          <xdr:nvSpPr>
            <xdr:cNvPr id="0" name=""/>
            <xdr:cNvSpPr>
              <a:spLocks noTextEdit="1"/>
            </xdr:cNvSpPr>
          </xdr:nvSpPr>
          <xdr:spPr>
            <a:xfrm>
              <a:off x="6395852" y="5026975"/>
              <a:ext cx="1829666" cy="2588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531668</xdr:colOff>
      <xdr:row>26</xdr:row>
      <xdr:rowOff>67789</xdr:rowOff>
    </xdr:from>
    <xdr:to>
      <xdr:col>16</xdr:col>
      <xdr:colOff>532658</xdr:colOff>
      <xdr:row>39</xdr:row>
      <xdr:rowOff>179738</xdr:rowOff>
    </xdr:to>
    <mc:AlternateContent xmlns:mc="http://schemas.openxmlformats.org/markup-compatibility/2006">
      <mc:Choice xmlns:a14="http://schemas.microsoft.com/office/drawing/2010/main" Requires="a14">
        <xdr:graphicFrame macro="">
          <xdr:nvGraphicFramePr>
            <xdr:cNvPr id="10" name="Remaining 1">
              <a:extLst>
                <a:ext uri="{FF2B5EF4-FFF2-40B4-BE49-F238E27FC236}">
                  <a16:creationId xmlns:a16="http://schemas.microsoft.com/office/drawing/2014/main" id="{5A23AB4D-CB04-43FE-8E32-3E496099F358}"/>
                </a:ext>
              </a:extLst>
            </xdr:cNvPr>
            <xdr:cNvGraphicFramePr/>
          </xdr:nvGraphicFramePr>
          <xdr:xfrm>
            <a:off x="0" y="0"/>
            <a:ext cx="0" cy="0"/>
          </xdr:xfrm>
          <a:graphic>
            <a:graphicData uri="http://schemas.microsoft.com/office/drawing/2010/slicer">
              <sle:slicer xmlns:sle="http://schemas.microsoft.com/office/drawing/2010/slicer" name="Remaining 1"/>
            </a:graphicData>
          </a:graphic>
        </xdr:graphicFrame>
      </mc:Choice>
      <mc:Fallback>
        <xdr:sp macro="" textlink="">
          <xdr:nvSpPr>
            <xdr:cNvPr id="0" name=""/>
            <xdr:cNvSpPr>
              <a:spLocks noTextEdit="1"/>
            </xdr:cNvSpPr>
          </xdr:nvSpPr>
          <xdr:spPr>
            <a:xfrm>
              <a:off x="8456468" y="5020789"/>
              <a:ext cx="1829790" cy="2588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5</xdr:row>
      <xdr:rowOff>76200</xdr:rowOff>
    </xdr:from>
    <xdr:to>
      <xdr:col>4</xdr:col>
      <xdr:colOff>571500</xdr:colOff>
      <xdr:row>10</xdr:row>
      <xdr:rowOff>161925</xdr:rowOff>
    </xdr:to>
    <xdr:sp macro="" textlink="">
      <xdr:nvSpPr>
        <xdr:cNvPr id="11" name="Oval 10">
          <a:extLst>
            <a:ext uri="{FF2B5EF4-FFF2-40B4-BE49-F238E27FC236}">
              <a16:creationId xmlns:a16="http://schemas.microsoft.com/office/drawing/2014/main" id="{988B764C-C9DF-D2EE-F93E-BD3BBB5B07FB}"/>
            </a:ext>
          </a:extLst>
        </xdr:cNvPr>
        <xdr:cNvSpPr/>
      </xdr:nvSpPr>
      <xdr:spPr>
        <a:xfrm>
          <a:off x="514350" y="1028700"/>
          <a:ext cx="2495550" cy="1038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latin typeface="Cascadia Code" panose="020B0609020000020004" pitchFamily="49" charset="0"/>
              <a:ea typeface="Cascadia Code" panose="020B0609020000020004" pitchFamily="49" charset="0"/>
              <a:cs typeface="Cascadia Code" panose="020B0609020000020004" pitchFamily="49" charset="0"/>
            </a:rPr>
            <a:t>MONTHLY BUDGET</a:t>
          </a:r>
        </a:p>
        <a:p>
          <a:pPr algn="ctr"/>
          <a:r>
            <a:rPr lang="en-US" sz="1400" b="1" i="1">
              <a:latin typeface="Cascadia Code" panose="020B0609020000020004" pitchFamily="49" charset="0"/>
              <a:ea typeface="Cascadia Code" panose="020B0609020000020004" pitchFamily="49" charset="0"/>
              <a:cs typeface="Cascadia Code" panose="020B0609020000020004" pitchFamily="49" charset="0"/>
            </a:rPr>
            <a:t>91</a:t>
          </a:r>
        </a:p>
      </xdr:txBody>
    </xdr:sp>
    <xdr:clientData/>
  </xdr:twoCellAnchor>
  <xdr:twoCellAnchor>
    <xdr:from>
      <xdr:col>8</xdr:col>
      <xdr:colOff>209549</xdr:colOff>
      <xdr:row>5</xdr:row>
      <xdr:rowOff>9525</xdr:rowOff>
    </xdr:from>
    <xdr:to>
      <xdr:col>12</xdr:col>
      <xdr:colOff>371474</xdr:colOff>
      <xdr:row>10</xdr:row>
      <xdr:rowOff>114300</xdr:rowOff>
    </xdr:to>
    <xdr:sp macro="" textlink="">
      <xdr:nvSpPr>
        <xdr:cNvPr id="12" name="Oval 11">
          <a:extLst>
            <a:ext uri="{FF2B5EF4-FFF2-40B4-BE49-F238E27FC236}">
              <a16:creationId xmlns:a16="http://schemas.microsoft.com/office/drawing/2014/main" id="{1FDBC26C-B432-F7AA-1766-5E82B1799B5A}"/>
            </a:ext>
          </a:extLst>
        </xdr:cNvPr>
        <xdr:cNvSpPr/>
      </xdr:nvSpPr>
      <xdr:spPr>
        <a:xfrm>
          <a:off x="5086349" y="962025"/>
          <a:ext cx="2600325" cy="105727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latin typeface="Cascadia Code" panose="020B0609020000020004" pitchFamily="49" charset="0"/>
              <a:ea typeface="Cascadia Code" panose="020B0609020000020004" pitchFamily="49" charset="0"/>
              <a:cs typeface="Cascadia Code" panose="020B0609020000020004" pitchFamily="49" charset="0"/>
            </a:rPr>
            <a:t>ACTUAL SPENT</a:t>
          </a:r>
        </a:p>
        <a:p>
          <a:pPr algn="ctr"/>
          <a:r>
            <a:rPr lang="en-US" sz="1400" b="1" i="1">
              <a:latin typeface="Cascadia Code" panose="020B0609020000020004" pitchFamily="49" charset="0"/>
              <a:ea typeface="Cascadia Code" panose="020B0609020000020004" pitchFamily="49" charset="0"/>
              <a:cs typeface="Cascadia Code" panose="020B0609020000020004" pitchFamily="49" charset="0"/>
            </a:rPr>
            <a:t>39</a:t>
          </a:r>
        </a:p>
      </xdr:txBody>
    </xdr:sp>
    <xdr:clientData/>
  </xdr:twoCellAnchor>
  <xdr:twoCellAnchor>
    <xdr:from>
      <xdr:col>14</xdr:col>
      <xdr:colOff>171449</xdr:colOff>
      <xdr:row>5</xdr:row>
      <xdr:rowOff>9525</xdr:rowOff>
    </xdr:from>
    <xdr:to>
      <xdr:col>18</xdr:col>
      <xdr:colOff>314324</xdr:colOff>
      <xdr:row>10</xdr:row>
      <xdr:rowOff>57150</xdr:rowOff>
    </xdr:to>
    <xdr:sp macro="" textlink="">
      <xdr:nvSpPr>
        <xdr:cNvPr id="13" name="Oval 12">
          <a:extLst>
            <a:ext uri="{FF2B5EF4-FFF2-40B4-BE49-F238E27FC236}">
              <a16:creationId xmlns:a16="http://schemas.microsoft.com/office/drawing/2014/main" id="{CADE0E8C-B48F-39DD-D026-FD0EEF8AE33E}"/>
            </a:ext>
          </a:extLst>
        </xdr:cNvPr>
        <xdr:cNvSpPr/>
      </xdr:nvSpPr>
      <xdr:spPr>
        <a:xfrm>
          <a:off x="8705849" y="962025"/>
          <a:ext cx="2581275" cy="10001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Cascadia Code" panose="020B0609020000020004" pitchFamily="49" charset="0"/>
              <a:ea typeface="Cascadia Code" panose="020B0609020000020004" pitchFamily="49" charset="0"/>
              <a:cs typeface="Cascadia Code" panose="020B0609020000020004" pitchFamily="49" charset="0"/>
            </a:rPr>
            <a:t>REMAINING</a:t>
          </a:r>
        </a:p>
        <a:p>
          <a:pPr algn="ctr"/>
          <a:r>
            <a:rPr lang="en-US" sz="1400">
              <a:latin typeface="Cascadia Code" panose="020B0609020000020004" pitchFamily="49" charset="0"/>
              <a:ea typeface="Cascadia Code" panose="020B0609020000020004" pitchFamily="49" charset="0"/>
              <a:cs typeface="Cascadia Code" panose="020B0609020000020004" pitchFamily="49" charset="0"/>
            </a:rPr>
            <a:t>52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 refreshedDate="46044.806688310186" createdVersion="8" refreshedVersion="8" minRefreshableVersion="3" recordCount="12" xr:uid="{16DA1B4E-82BC-4AE8-A300-C15568DA4183}">
  <cacheSource type="worksheet">
    <worksheetSource ref="A1:F13" sheet="Budget"/>
  </cacheSource>
  <cacheFields count="6">
    <cacheField name="Category" numFmtId="0">
      <sharedItems count="11">
        <s v="Rent"/>
        <s v="Food"/>
        <s v="Transport"/>
        <s v="Entertainment"/>
        <s v="Savings"/>
        <s v="Salary"/>
        <s v="Shopping"/>
        <s v="Education"/>
        <s v="Utilities"/>
        <s v="Health care"/>
        <s v="Freelance"/>
      </sharedItems>
    </cacheField>
    <cacheField name="Monthly budget" numFmtId="0">
      <sharedItems containsSemiMixedTypes="0" containsString="0" containsNumber="1" containsInteger="1" minValue="1500" maxValue="40000"/>
    </cacheField>
    <cacheField name="Actual spent" numFmtId="0">
      <sharedItems containsSemiMixedTypes="0" containsString="0" containsNumber="1" containsInteger="1" minValue="1000" maxValue="7000" count="9">
        <n v="4000"/>
        <n v="1500"/>
        <n v="1000"/>
        <n v="2500"/>
        <n v="5000"/>
        <n v="3000"/>
        <n v="6000"/>
        <n v="7000"/>
        <n v="2000"/>
      </sharedItems>
    </cacheField>
    <cacheField name="Remaining" numFmtId="0">
      <sharedItems containsSemiMixedTypes="0" containsString="0" containsNumber="1" containsInteger="1" minValue="500" maxValue="37000" count="5">
        <n v="1000"/>
        <n v="500"/>
        <n v="37000"/>
        <n v="3000"/>
        <n v="2000"/>
      </sharedItems>
    </cacheField>
    <cacheField name="Month" numFmtId="0">
      <sharedItems count="12">
        <s v="January"/>
        <s v="February"/>
        <s v="March"/>
        <s v="April"/>
        <s v="May"/>
        <s v="June"/>
        <s v="July"/>
        <s v="August"/>
        <s v="September"/>
        <s v="October"/>
        <s v="November"/>
        <s v="December"/>
      </sharedItems>
    </cacheField>
    <cacheField name="Date" numFmtId="14">
      <sharedItems containsSemiMixedTypes="0" containsNonDate="0" containsDate="1" containsString="0" minDate="2025-01-01T00:00:00" maxDate="2025-12-02T00:00:00"/>
    </cacheField>
  </cacheFields>
  <extLst>
    <ext xmlns:x14="http://schemas.microsoft.com/office/spreadsheetml/2009/9/main" uri="{725AE2AE-9491-48be-B2B4-4EB974FC3084}">
      <x14:pivotCacheDefinition pivotCacheId="7284332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 refreshedDate="46044.807984490741" createdVersion="8" refreshedVersion="8" minRefreshableVersion="3" recordCount="13" xr:uid="{B4823487-9565-4576-BFD5-86A94DC08BD5}">
  <cacheSource type="worksheet">
    <worksheetSource ref="A1:F14" sheet="Budget"/>
  </cacheSource>
  <cacheFields count="6">
    <cacheField name="Category" numFmtId="0">
      <sharedItems containsBlank="1" count="12">
        <s v="Rent"/>
        <s v="Food"/>
        <s v="Transport"/>
        <s v="Entertainment"/>
        <s v="Savings"/>
        <s v="Salary"/>
        <s v="Shopping"/>
        <s v="Education"/>
        <s v="Utilities"/>
        <s v="Health care"/>
        <s v="Freelance"/>
        <m/>
      </sharedItems>
    </cacheField>
    <cacheField name="Monthly budget" numFmtId="0">
      <sharedItems containsString="0" containsBlank="1" containsNumber="1" containsInteger="1" minValue="1500" maxValue="40000"/>
    </cacheField>
    <cacheField name="Actual spent" numFmtId="0">
      <sharedItems containsString="0" containsBlank="1" containsNumber="1" containsInteger="1" minValue="1000" maxValue="7000"/>
    </cacheField>
    <cacheField name="Remaining" numFmtId="0">
      <sharedItems containsString="0" containsBlank="1" containsNumber="1" containsInteger="1" minValue="500" maxValue="37000"/>
    </cacheField>
    <cacheField name="Month" numFmtId="0">
      <sharedItems containsBlank="1"/>
    </cacheField>
    <cacheField name="Date" numFmtId="0">
      <sharedItems containsNonDate="0" containsDate="1" containsString="0" containsBlank="1" minDate="2025-01-01T00:00:00" maxDate="2025-12-02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000"/>
    <x v="0"/>
    <x v="0"/>
    <x v="0"/>
    <d v="2025-01-01T00:00:00"/>
  </r>
  <r>
    <x v="1"/>
    <n v="2500"/>
    <x v="1"/>
    <x v="0"/>
    <x v="1"/>
    <d v="2025-02-01T00:00:00"/>
  </r>
  <r>
    <x v="2"/>
    <n v="1500"/>
    <x v="2"/>
    <x v="1"/>
    <x v="2"/>
    <d v="2025-03-01T00:00:00"/>
  </r>
  <r>
    <x v="3"/>
    <n v="3000"/>
    <x v="3"/>
    <x v="1"/>
    <x v="3"/>
    <d v="2025-04-01T00:00:00"/>
  </r>
  <r>
    <x v="4"/>
    <n v="6000"/>
    <x v="4"/>
    <x v="0"/>
    <x v="4"/>
    <d v="2025-05-01T00:00:00"/>
  </r>
  <r>
    <x v="5"/>
    <n v="40000"/>
    <x v="5"/>
    <x v="2"/>
    <x v="5"/>
    <d v="2025-06-01T00:00:00"/>
  </r>
  <r>
    <x v="6"/>
    <n v="7000"/>
    <x v="6"/>
    <x v="0"/>
    <x v="6"/>
    <d v="2025-07-01T00:00:00"/>
  </r>
  <r>
    <x v="7"/>
    <n v="10000"/>
    <x v="7"/>
    <x v="3"/>
    <x v="7"/>
    <d v="2025-08-01T00:00:00"/>
  </r>
  <r>
    <x v="8"/>
    <n v="3000"/>
    <x v="8"/>
    <x v="0"/>
    <x v="8"/>
    <d v="2025-09-01T00:00:00"/>
  </r>
  <r>
    <x v="9"/>
    <n v="5000"/>
    <x v="5"/>
    <x v="4"/>
    <x v="9"/>
    <d v="2025-10-01T00:00:00"/>
  </r>
  <r>
    <x v="10"/>
    <n v="3000"/>
    <x v="8"/>
    <x v="0"/>
    <x v="10"/>
    <d v="2025-11-01T00:00:00"/>
  </r>
  <r>
    <x v="4"/>
    <n v="5000"/>
    <x v="8"/>
    <x v="3"/>
    <x v="11"/>
    <d v="2025-12-0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5000"/>
    <n v="4000"/>
    <n v="1000"/>
    <s v="January"/>
    <d v="2025-01-01T00:00:00"/>
  </r>
  <r>
    <x v="1"/>
    <n v="2500"/>
    <n v="1500"/>
    <n v="1000"/>
    <s v="February"/>
    <d v="2025-02-01T00:00:00"/>
  </r>
  <r>
    <x v="2"/>
    <n v="1500"/>
    <n v="1000"/>
    <n v="500"/>
    <s v="March"/>
    <d v="2025-03-01T00:00:00"/>
  </r>
  <r>
    <x v="3"/>
    <n v="3000"/>
    <n v="2500"/>
    <n v="500"/>
    <s v="April"/>
    <d v="2025-04-01T00:00:00"/>
  </r>
  <r>
    <x v="4"/>
    <n v="6000"/>
    <n v="5000"/>
    <n v="1000"/>
    <s v="May"/>
    <d v="2025-05-01T00:00:00"/>
  </r>
  <r>
    <x v="5"/>
    <n v="40000"/>
    <n v="3000"/>
    <n v="37000"/>
    <s v="June"/>
    <d v="2025-06-01T00:00:00"/>
  </r>
  <r>
    <x v="6"/>
    <n v="7000"/>
    <n v="6000"/>
    <n v="1000"/>
    <s v="July"/>
    <d v="2025-07-01T00:00:00"/>
  </r>
  <r>
    <x v="7"/>
    <n v="10000"/>
    <n v="7000"/>
    <n v="3000"/>
    <s v="August"/>
    <d v="2025-08-01T00:00:00"/>
  </r>
  <r>
    <x v="8"/>
    <n v="3000"/>
    <n v="2000"/>
    <n v="1000"/>
    <s v="September"/>
    <d v="2025-09-01T00:00:00"/>
  </r>
  <r>
    <x v="9"/>
    <n v="5000"/>
    <n v="3000"/>
    <n v="2000"/>
    <s v="October"/>
    <d v="2025-10-01T00:00:00"/>
  </r>
  <r>
    <x v="10"/>
    <n v="3000"/>
    <n v="2000"/>
    <n v="1000"/>
    <s v="November"/>
    <d v="2025-11-01T00:00:00"/>
  </r>
  <r>
    <x v="4"/>
    <n v="5000"/>
    <n v="2000"/>
    <n v="3000"/>
    <s v="December"/>
    <d v="2025-12-01T00:00:00"/>
  </r>
  <r>
    <x v="1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BC6096-9EE8-48D2-8F9D-F87E9DB862C6}"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P16" firstHeaderRow="0" firstDataRow="1" firstDataCol="1"/>
  <pivotFields count="6">
    <pivotField axis="axisRow" showAll="0">
      <items count="13">
        <item x="7"/>
        <item x="3"/>
        <item x="1"/>
        <item x="10"/>
        <item x="9"/>
        <item x="0"/>
        <item x="5"/>
        <item x="4"/>
        <item x="6"/>
        <item x="2"/>
        <item x="8"/>
        <item x="11"/>
        <item t="default"/>
      </items>
    </pivotField>
    <pivotField dataField="1" showAll="0"/>
    <pivotField dataField="1" showAll="0"/>
    <pivotField dataField="1"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Monthly budget" fld="1" baseField="0" baseItem="0"/>
    <dataField name="Sum of Actual spent" fld="2" baseField="0" baseItem="0"/>
    <dataField name="Sum of Remaining" fld="3" baseField="0" baseItem="0"/>
  </dataFields>
  <chartFormats count="4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2">
          <reference field="4294967294" count="1" selected="0">
            <x v="0"/>
          </reference>
          <reference field="0" count="1" selected="0">
            <x v="0"/>
          </reference>
        </references>
      </pivotArea>
    </chartFormat>
    <chartFormat chart="5" format="44">
      <pivotArea type="data" outline="0" fieldPosition="0">
        <references count="2">
          <reference field="4294967294" count="1" selected="0">
            <x v="0"/>
          </reference>
          <reference field="0" count="1" selected="0">
            <x v="1"/>
          </reference>
        </references>
      </pivotArea>
    </chartFormat>
    <chartFormat chart="5" format="45">
      <pivotArea type="data" outline="0" fieldPosition="0">
        <references count="2">
          <reference field="4294967294" count="1" selected="0">
            <x v="0"/>
          </reference>
          <reference field="0" count="1" selected="0">
            <x v="2"/>
          </reference>
        </references>
      </pivotArea>
    </chartFormat>
    <chartFormat chart="5" format="46">
      <pivotArea type="data" outline="0" fieldPosition="0">
        <references count="2">
          <reference field="4294967294" count="1" selected="0">
            <x v="0"/>
          </reference>
          <reference field="0" count="1" selected="0">
            <x v="3"/>
          </reference>
        </references>
      </pivotArea>
    </chartFormat>
    <chartFormat chart="5" format="47">
      <pivotArea type="data" outline="0" fieldPosition="0">
        <references count="2">
          <reference field="4294967294" count="1" selected="0">
            <x v="0"/>
          </reference>
          <reference field="0" count="1" selected="0">
            <x v="4"/>
          </reference>
        </references>
      </pivotArea>
    </chartFormat>
    <chartFormat chart="5" format="48">
      <pivotArea type="data" outline="0" fieldPosition="0">
        <references count="2">
          <reference field="4294967294" count="1" selected="0">
            <x v="0"/>
          </reference>
          <reference field="0" count="1" selected="0">
            <x v="5"/>
          </reference>
        </references>
      </pivotArea>
    </chartFormat>
    <chartFormat chart="5" format="49">
      <pivotArea type="data" outline="0" fieldPosition="0">
        <references count="2">
          <reference field="4294967294" count="1" selected="0">
            <x v="0"/>
          </reference>
          <reference field="0" count="1" selected="0">
            <x v="6"/>
          </reference>
        </references>
      </pivotArea>
    </chartFormat>
    <chartFormat chart="5" format="50">
      <pivotArea type="data" outline="0" fieldPosition="0">
        <references count="2">
          <reference field="4294967294" count="1" selected="0">
            <x v="0"/>
          </reference>
          <reference field="0" count="1" selected="0">
            <x v="7"/>
          </reference>
        </references>
      </pivotArea>
    </chartFormat>
    <chartFormat chart="5" format="51">
      <pivotArea type="data" outline="0" fieldPosition="0">
        <references count="2">
          <reference field="4294967294" count="1" selected="0">
            <x v="0"/>
          </reference>
          <reference field="0" count="1" selected="0">
            <x v="8"/>
          </reference>
        </references>
      </pivotArea>
    </chartFormat>
    <chartFormat chart="5" format="52">
      <pivotArea type="data" outline="0" fieldPosition="0">
        <references count="2">
          <reference field="4294967294" count="1" selected="0">
            <x v="0"/>
          </reference>
          <reference field="0" count="1" selected="0">
            <x v="9"/>
          </reference>
        </references>
      </pivotArea>
    </chartFormat>
    <chartFormat chart="5" format="53">
      <pivotArea type="data" outline="0" fieldPosition="0">
        <references count="2">
          <reference field="4294967294" count="1" selected="0">
            <x v="0"/>
          </reference>
          <reference field="0" count="1" selected="0">
            <x v="10"/>
          </reference>
        </references>
      </pivotArea>
    </chartFormat>
    <chartFormat chart="5" format="54">
      <pivotArea type="data" outline="0" fieldPosition="0">
        <references count="2">
          <reference field="4294967294" count="1" selected="0">
            <x v="0"/>
          </reference>
          <reference field="0" count="1" selected="0">
            <x v="11"/>
          </reference>
        </references>
      </pivotArea>
    </chartFormat>
    <chartFormat chart="5" format="55" series="1">
      <pivotArea type="data" outline="0" fieldPosition="0">
        <references count="1">
          <reference field="4294967294" count="1" selected="0">
            <x v="1"/>
          </reference>
        </references>
      </pivotArea>
    </chartFormat>
    <chartFormat chart="5" format="56">
      <pivotArea type="data" outline="0" fieldPosition="0">
        <references count="2">
          <reference field="4294967294" count="1" selected="0">
            <x v="1"/>
          </reference>
          <reference field="0" count="1" selected="0">
            <x v="0"/>
          </reference>
        </references>
      </pivotArea>
    </chartFormat>
    <chartFormat chart="5" format="57">
      <pivotArea type="data" outline="0" fieldPosition="0">
        <references count="2">
          <reference field="4294967294" count="1" selected="0">
            <x v="1"/>
          </reference>
          <reference field="0" count="1" selected="0">
            <x v="1"/>
          </reference>
        </references>
      </pivotArea>
    </chartFormat>
    <chartFormat chart="5" format="58">
      <pivotArea type="data" outline="0" fieldPosition="0">
        <references count="2">
          <reference field="4294967294" count="1" selected="0">
            <x v="1"/>
          </reference>
          <reference field="0" count="1" selected="0">
            <x v="2"/>
          </reference>
        </references>
      </pivotArea>
    </chartFormat>
    <chartFormat chart="5" format="59">
      <pivotArea type="data" outline="0" fieldPosition="0">
        <references count="2">
          <reference field="4294967294" count="1" selected="0">
            <x v="1"/>
          </reference>
          <reference field="0" count="1" selected="0">
            <x v="3"/>
          </reference>
        </references>
      </pivotArea>
    </chartFormat>
    <chartFormat chart="5" format="60">
      <pivotArea type="data" outline="0" fieldPosition="0">
        <references count="2">
          <reference field="4294967294" count="1" selected="0">
            <x v="1"/>
          </reference>
          <reference field="0" count="1" selected="0">
            <x v="4"/>
          </reference>
        </references>
      </pivotArea>
    </chartFormat>
    <chartFormat chart="5" format="61">
      <pivotArea type="data" outline="0" fieldPosition="0">
        <references count="2">
          <reference field="4294967294" count="1" selected="0">
            <x v="1"/>
          </reference>
          <reference field="0" count="1" selected="0">
            <x v="5"/>
          </reference>
        </references>
      </pivotArea>
    </chartFormat>
    <chartFormat chart="5" format="62">
      <pivotArea type="data" outline="0" fieldPosition="0">
        <references count="2">
          <reference field="4294967294" count="1" selected="0">
            <x v="1"/>
          </reference>
          <reference field="0" count="1" selected="0">
            <x v="6"/>
          </reference>
        </references>
      </pivotArea>
    </chartFormat>
    <chartFormat chart="5" format="63">
      <pivotArea type="data" outline="0" fieldPosition="0">
        <references count="2">
          <reference field="4294967294" count="1" selected="0">
            <x v="1"/>
          </reference>
          <reference field="0" count="1" selected="0">
            <x v="7"/>
          </reference>
        </references>
      </pivotArea>
    </chartFormat>
    <chartFormat chart="5" format="64">
      <pivotArea type="data" outline="0" fieldPosition="0">
        <references count="2">
          <reference field="4294967294" count="1" selected="0">
            <x v="1"/>
          </reference>
          <reference field="0" count="1" selected="0">
            <x v="8"/>
          </reference>
        </references>
      </pivotArea>
    </chartFormat>
    <chartFormat chart="5" format="65">
      <pivotArea type="data" outline="0" fieldPosition="0">
        <references count="2">
          <reference field="4294967294" count="1" selected="0">
            <x v="1"/>
          </reference>
          <reference field="0" count="1" selected="0">
            <x v="9"/>
          </reference>
        </references>
      </pivotArea>
    </chartFormat>
    <chartFormat chart="5" format="66">
      <pivotArea type="data" outline="0" fieldPosition="0">
        <references count="2">
          <reference field="4294967294" count="1" selected="0">
            <x v="1"/>
          </reference>
          <reference field="0" count="1" selected="0">
            <x v="10"/>
          </reference>
        </references>
      </pivotArea>
    </chartFormat>
    <chartFormat chart="5" format="67">
      <pivotArea type="data" outline="0" fieldPosition="0">
        <references count="2">
          <reference field="4294967294" count="1" selected="0">
            <x v="1"/>
          </reference>
          <reference field="0" count="1" selected="0">
            <x v="11"/>
          </reference>
        </references>
      </pivotArea>
    </chartFormat>
    <chartFormat chart="5" format="68" series="1">
      <pivotArea type="data" outline="0" fieldPosition="0">
        <references count="1">
          <reference field="4294967294" count="1" selected="0">
            <x v="2"/>
          </reference>
        </references>
      </pivotArea>
    </chartFormat>
    <chartFormat chart="5" format="69">
      <pivotArea type="data" outline="0" fieldPosition="0">
        <references count="2">
          <reference field="4294967294" count="1" selected="0">
            <x v="2"/>
          </reference>
          <reference field="0" count="1" selected="0">
            <x v="0"/>
          </reference>
        </references>
      </pivotArea>
    </chartFormat>
    <chartFormat chart="5" format="70">
      <pivotArea type="data" outline="0" fieldPosition="0">
        <references count="2">
          <reference field="4294967294" count="1" selected="0">
            <x v="2"/>
          </reference>
          <reference field="0" count="1" selected="0">
            <x v="1"/>
          </reference>
        </references>
      </pivotArea>
    </chartFormat>
    <chartFormat chart="5" format="71">
      <pivotArea type="data" outline="0" fieldPosition="0">
        <references count="2">
          <reference field="4294967294" count="1" selected="0">
            <x v="2"/>
          </reference>
          <reference field="0" count="1" selected="0">
            <x v="2"/>
          </reference>
        </references>
      </pivotArea>
    </chartFormat>
    <chartFormat chart="5" format="72">
      <pivotArea type="data" outline="0" fieldPosition="0">
        <references count="2">
          <reference field="4294967294" count="1" selected="0">
            <x v="2"/>
          </reference>
          <reference field="0" count="1" selected="0">
            <x v="3"/>
          </reference>
        </references>
      </pivotArea>
    </chartFormat>
    <chartFormat chart="5" format="73">
      <pivotArea type="data" outline="0" fieldPosition="0">
        <references count="2">
          <reference field="4294967294" count="1" selected="0">
            <x v="2"/>
          </reference>
          <reference field="0" count="1" selected="0">
            <x v="4"/>
          </reference>
        </references>
      </pivotArea>
    </chartFormat>
    <chartFormat chart="5" format="74">
      <pivotArea type="data" outline="0" fieldPosition="0">
        <references count="2">
          <reference field="4294967294" count="1" selected="0">
            <x v="2"/>
          </reference>
          <reference field="0" count="1" selected="0">
            <x v="5"/>
          </reference>
        </references>
      </pivotArea>
    </chartFormat>
    <chartFormat chart="5" format="75">
      <pivotArea type="data" outline="0" fieldPosition="0">
        <references count="2">
          <reference field="4294967294" count="1" selected="0">
            <x v="2"/>
          </reference>
          <reference field="0" count="1" selected="0">
            <x v="6"/>
          </reference>
        </references>
      </pivotArea>
    </chartFormat>
    <chartFormat chart="5" format="76">
      <pivotArea type="data" outline="0" fieldPosition="0">
        <references count="2">
          <reference field="4294967294" count="1" selected="0">
            <x v="2"/>
          </reference>
          <reference field="0" count="1" selected="0">
            <x v="7"/>
          </reference>
        </references>
      </pivotArea>
    </chartFormat>
    <chartFormat chart="5" format="77">
      <pivotArea type="data" outline="0" fieldPosition="0">
        <references count="2">
          <reference field="4294967294" count="1" selected="0">
            <x v="2"/>
          </reference>
          <reference field="0" count="1" selected="0">
            <x v="8"/>
          </reference>
        </references>
      </pivotArea>
    </chartFormat>
    <chartFormat chart="5" format="78">
      <pivotArea type="data" outline="0" fieldPosition="0">
        <references count="2">
          <reference field="4294967294" count="1" selected="0">
            <x v="2"/>
          </reference>
          <reference field="0" count="1" selected="0">
            <x v="9"/>
          </reference>
        </references>
      </pivotArea>
    </chartFormat>
    <chartFormat chart="5" format="79">
      <pivotArea type="data" outline="0" fieldPosition="0">
        <references count="2">
          <reference field="4294967294" count="1" selected="0">
            <x v="2"/>
          </reference>
          <reference field="0" count="1" selected="0">
            <x v="10"/>
          </reference>
        </references>
      </pivotArea>
    </chartFormat>
    <chartFormat chart="5" format="80">
      <pivotArea type="data" outline="0" fieldPosition="0">
        <references count="2">
          <reference field="4294967294" count="1" selected="0">
            <x v="2"/>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542B97-939B-4F67-8BD9-3A22B23FEF4F}"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3:K16" firstHeaderRow="0" firstDataRow="1" firstDataCol="1"/>
  <pivotFields count="6">
    <pivotField axis="axisRow" showAll="0">
      <items count="13">
        <item x="7"/>
        <item x="3"/>
        <item x="1"/>
        <item x="10"/>
        <item x="9"/>
        <item x="0"/>
        <item x="5"/>
        <item x="4"/>
        <item x="6"/>
        <item x="2"/>
        <item x="8"/>
        <item x="11"/>
        <item t="default"/>
      </items>
    </pivotField>
    <pivotField dataField="1" showAll="0"/>
    <pivotField dataField="1"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Monthly budget" fld="1" baseField="0" baseItem="0"/>
    <dataField name="Sum of Actual spent" fld="2"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B9362-A6A3-496C-89A7-BFB2AC7D1C3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G16" firstHeaderRow="0" firstDataRow="1" firstDataCol="1"/>
  <pivotFields count="6">
    <pivotField axis="axisRow" showAll="0">
      <items count="13">
        <item x="7"/>
        <item x="3"/>
        <item x="1"/>
        <item x="10"/>
        <item x="9"/>
        <item x="0"/>
        <item x="5"/>
        <item x="4"/>
        <item x="6"/>
        <item x="2"/>
        <item x="8"/>
        <item x="11"/>
        <item t="default"/>
      </items>
    </pivotField>
    <pivotField dataField="1" showAll="0"/>
    <pivotField showAll="0"/>
    <pivotField dataField="1"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Monthly budget" fld="1" baseField="0" baseItem="0"/>
    <dataField name="Sum of Remaining"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E9195D-4AF6-4D17-8EFD-F62BFC65D9F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7" firstHeaderRow="0" firstDataRow="1" firstDataCol="1"/>
  <pivotFields count="6">
    <pivotField axis="axisRow" showAll="0">
      <items count="12">
        <item x="7"/>
        <item x="3"/>
        <item x="1"/>
        <item x="10"/>
        <item x="9"/>
        <item x="0"/>
        <item x="5"/>
        <item x="4"/>
        <item x="6"/>
        <item x="2"/>
        <item x="8"/>
        <item t="default"/>
      </items>
    </pivotField>
    <pivotField dataField="1" showAll="0"/>
    <pivotField dataField="1" showAll="0">
      <items count="10">
        <item x="2"/>
        <item x="1"/>
        <item x="8"/>
        <item x="3"/>
        <item x="5"/>
        <item x="0"/>
        <item x="4"/>
        <item x="6"/>
        <item x="7"/>
        <item t="default"/>
      </items>
    </pivotField>
    <pivotField showAll="0">
      <items count="6">
        <item x="1"/>
        <item x="0"/>
        <item x="4"/>
        <item x="3"/>
        <item x="2"/>
        <item t="default"/>
      </items>
    </pivotField>
    <pivotField axis="axisRow" showAll="0">
      <items count="13">
        <item x="0"/>
        <item x="1"/>
        <item x="2"/>
        <item x="3"/>
        <item x="4"/>
        <item x="5"/>
        <item x="6"/>
        <item x="7"/>
        <item x="8"/>
        <item x="9"/>
        <item x="10"/>
        <item x="11"/>
        <item t="default"/>
      </items>
    </pivotField>
    <pivotField numFmtId="14" showAll="0"/>
  </pivotFields>
  <rowFields count="2">
    <field x="0"/>
    <field x="4"/>
  </rowFields>
  <rowItems count="24">
    <i>
      <x/>
    </i>
    <i r="1">
      <x v="7"/>
    </i>
    <i>
      <x v="1"/>
    </i>
    <i r="1">
      <x v="3"/>
    </i>
    <i>
      <x v="2"/>
    </i>
    <i r="1">
      <x v="1"/>
    </i>
    <i>
      <x v="3"/>
    </i>
    <i r="1">
      <x v="10"/>
    </i>
    <i>
      <x v="4"/>
    </i>
    <i r="1">
      <x v="9"/>
    </i>
    <i>
      <x v="5"/>
    </i>
    <i r="1">
      <x/>
    </i>
    <i>
      <x v="6"/>
    </i>
    <i r="1">
      <x v="5"/>
    </i>
    <i>
      <x v="7"/>
    </i>
    <i r="1">
      <x v="4"/>
    </i>
    <i r="1">
      <x v="11"/>
    </i>
    <i>
      <x v="8"/>
    </i>
    <i r="1">
      <x v="6"/>
    </i>
    <i>
      <x v="9"/>
    </i>
    <i r="1">
      <x v="2"/>
    </i>
    <i>
      <x v="10"/>
    </i>
    <i r="1">
      <x v="8"/>
    </i>
    <i t="grand">
      <x/>
    </i>
  </rowItems>
  <colFields count="1">
    <field x="-2"/>
  </colFields>
  <colItems count="2">
    <i>
      <x/>
    </i>
    <i i="1">
      <x v="1"/>
    </i>
  </colItems>
  <dataFields count="2">
    <dataField name="Sum of Monthly budget" fld="1" baseField="0" baseItem="0"/>
    <dataField name="Sum of Actual spent" fld="2" baseField="0" baseItem="0"/>
  </dataFields>
  <chartFormats count="2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28" series="1">
      <pivotArea type="data" outline="0" fieldPosition="0">
        <references count="1">
          <reference field="4294967294" count="1" selected="0">
            <x v="0"/>
          </reference>
        </references>
      </pivotArea>
    </chartFormat>
    <chartFormat chart="3" format="29">
      <pivotArea type="data" outline="0" fieldPosition="0">
        <references count="3">
          <reference field="4294967294" count="1" selected="0">
            <x v="0"/>
          </reference>
          <reference field="0" count="1" selected="0">
            <x v="0"/>
          </reference>
          <reference field="4" count="1" selected="0">
            <x v="7"/>
          </reference>
        </references>
      </pivotArea>
    </chartFormat>
    <chartFormat chart="3" format="30">
      <pivotArea type="data" outline="0" fieldPosition="0">
        <references count="3">
          <reference field="4294967294" count="1" selected="0">
            <x v="0"/>
          </reference>
          <reference field="0" count="1" selected="0">
            <x v="1"/>
          </reference>
          <reference field="4" count="1" selected="0">
            <x v="3"/>
          </reference>
        </references>
      </pivotArea>
    </chartFormat>
    <chartFormat chart="3" format="31">
      <pivotArea type="data" outline="0" fieldPosition="0">
        <references count="3">
          <reference field="4294967294" count="1" selected="0">
            <x v="0"/>
          </reference>
          <reference field="0" count="1" selected="0">
            <x v="2"/>
          </reference>
          <reference field="4" count="1" selected="0">
            <x v="1"/>
          </reference>
        </references>
      </pivotArea>
    </chartFormat>
    <chartFormat chart="3" format="32">
      <pivotArea type="data" outline="0" fieldPosition="0">
        <references count="3">
          <reference field="4294967294" count="1" selected="0">
            <x v="0"/>
          </reference>
          <reference field="0" count="1" selected="0">
            <x v="3"/>
          </reference>
          <reference field="4" count="1" selected="0">
            <x v="10"/>
          </reference>
        </references>
      </pivotArea>
    </chartFormat>
    <chartFormat chart="3" format="33">
      <pivotArea type="data" outline="0" fieldPosition="0">
        <references count="3">
          <reference field="4294967294" count="1" selected="0">
            <x v="0"/>
          </reference>
          <reference field="0" count="1" selected="0">
            <x v="4"/>
          </reference>
          <reference field="4" count="1" selected="0">
            <x v="9"/>
          </reference>
        </references>
      </pivotArea>
    </chartFormat>
    <chartFormat chart="3" format="34">
      <pivotArea type="data" outline="0" fieldPosition="0">
        <references count="3">
          <reference field="4294967294" count="1" selected="0">
            <x v="0"/>
          </reference>
          <reference field="0" count="1" selected="0">
            <x v="5"/>
          </reference>
          <reference field="4" count="1" selected="0">
            <x v="0"/>
          </reference>
        </references>
      </pivotArea>
    </chartFormat>
    <chartFormat chart="3" format="35">
      <pivotArea type="data" outline="0" fieldPosition="0">
        <references count="3">
          <reference field="4294967294" count="1" selected="0">
            <x v="0"/>
          </reference>
          <reference field="0" count="1" selected="0">
            <x v="6"/>
          </reference>
          <reference field="4" count="1" selected="0">
            <x v="5"/>
          </reference>
        </references>
      </pivotArea>
    </chartFormat>
    <chartFormat chart="3" format="36">
      <pivotArea type="data" outline="0" fieldPosition="0">
        <references count="3">
          <reference field="4294967294" count="1" selected="0">
            <x v="0"/>
          </reference>
          <reference field="0" count="1" selected="0">
            <x v="7"/>
          </reference>
          <reference field="4" count="1" selected="0">
            <x v="4"/>
          </reference>
        </references>
      </pivotArea>
    </chartFormat>
    <chartFormat chart="3" format="37">
      <pivotArea type="data" outline="0" fieldPosition="0">
        <references count="3">
          <reference field="4294967294" count="1" selected="0">
            <x v="0"/>
          </reference>
          <reference field="0" count="1" selected="0">
            <x v="7"/>
          </reference>
          <reference field="4" count="1" selected="0">
            <x v="11"/>
          </reference>
        </references>
      </pivotArea>
    </chartFormat>
    <chartFormat chart="3" format="38">
      <pivotArea type="data" outline="0" fieldPosition="0">
        <references count="3">
          <reference field="4294967294" count="1" selected="0">
            <x v="0"/>
          </reference>
          <reference field="0" count="1" selected="0">
            <x v="8"/>
          </reference>
          <reference field="4" count="1" selected="0">
            <x v="6"/>
          </reference>
        </references>
      </pivotArea>
    </chartFormat>
    <chartFormat chart="3" format="39">
      <pivotArea type="data" outline="0" fieldPosition="0">
        <references count="3">
          <reference field="4294967294" count="1" selected="0">
            <x v="0"/>
          </reference>
          <reference field="0" count="1" selected="0">
            <x v="9"/>
          </reference>
          <reference field="4" count="1" selected="0">
            <x v="2"/>
          </reference>
        </references>
      </pivotArea>
    </chartFormat>
    <chartFormat chart="3" format="40">
      <pivotArea type="data" outline="0" fieldPosition="0">
        <references count="3">
          <reference field="4294967294" count="1" selected="0">
            <x v="0"/>
          </reference>
          <reference field="0" count="1" selected="0">
            <x v="10"/>
          </reference>
          <reference field="4" count="1" selected="0">
            <x v="8"/>
          </reference>
        </references>
      </pivotArea>
    </chartFormat>
    <chartFormat chart="3" format="41" series="1">
      <pivotArea type="data" outline="0" fieldPosition="0">
        <references count="1">
          <reference field="4294967294" count="1" selected="0">
            <x v="1"/>
          </reference>
        </references>
      </pivotArea>
    </chartFormat>
    <chartFormat chart="3" format="42">
      <pivotArea type="data" outline="0" fieldPosition="0">
        <references count="3">
          <reference field="4294967294" count="1" selected="0">
            <x v="1"/>
          </reference>
          <reference field="0" count="1" selected="0">
            <x v="0"/>
          </reference>
          <reference field="4" count="1" selected="0">
            <x v="7"/>
          </reference>
        </references>
      </pivotArea>
    </chartFormat>
    <chartFormat chart="3" format="43">
      <pivotArea type="data" outline="0" fieldPosition="0">
        <references count="3">
          <reference field="4294967294" count="1" selected="0">
            <x v="1"/>
          </reference>
          <reference field="0" count="1" selected="0">
            <x v="1"/>
          </reference>
          <reference field="4" count="1" selected="0">
            <x v="3"/>
          </reference>
        </references>
      </pivotArea>
    </chartFormat>
    <chartFormat chart="3" format="44">
      <pivotArea type="data" outline="0" fieldPosition="0">
        <references count="3">
          <reference field="4294967294" count="1" selected="0">
            <x v="1"/>
          </reference>
          <reference field="0" count="1" selected="0">
            <x v="2"/>
          </reference>
          <reference field="4" count="1" selected="0">
            <x v="1"/>
          </reference>
        </references>
      </pivotArea>
    </chartFormat>
    <chartFormat chart="3" format="45">
      <pivotArea type="data" outline="0" fieldPosition="0">
        <references count="3">
          <reference field="4294967294" count="1" selected="0">
            <x v="1"/>
          </reference>
          <reference field="0" count="1" selected="0">
            <x v="3"/>
          </reference>
          <reference field="4" count="1" selected="0">
            <x v="10"/>
          </reference>
        </references>
      </pivotArea>
    </chartFormat>
    <chartFormat chart="3" format="46">
      <pivotArea type="data" outline="0" fieldPosition="0">
        <references count="3">
          <reference field="4294967294" count="1" selected="0">
            <x v="1"/>
          </reference>
          <reference field="0" count="1" selected="0">
            <x v="4"/>
          </reference>
          <reference field="4" count="1" selected="0">
            <x v="9"/>
          </reference>
        </references>
      </pivotArea>
    </chartFormat>
    <chartFormat chart="3" format="47">
      <pivotArea type="data" outline="0" fieldPosition="0">
        <references count="3">
          <reference field="4294967294" count="1" selected="0">
            <x v="1"/>
          </reference>
          <reference field="0" count="1" selected="0">
            <x v="5"/>
          </reference>
          <reference field="4" count="1" selected="0">
            <x v="0"/>
          </reference>
        </references>
      </pivotArea>
    </chartFormat>
    <chartFormat chart="3" format="48">
      <pivotArea type="data" outline="0" fieldPosition="0">
        <references count="3">
          <reference field="4294967294" count="1" selected="0">
            <x v="1"/>
          </reference>
          <reference field="0" count="1" selected="0">
            <x v="6"/>
          </reference>
          <reference field="4" count="1" selected="0">
            <x v="5"/>
          </reference>
        </references>
      </pivotArea>
    </chartFormat>
    <chartFormat chart="3" format="49">
      <pivotArea type="data" outline="0" fieldPosition="0">
        <references count="3">
          <reference field="4294967294" count="1" selected="0">
            <x v="1"/>
          </reference>
          <reference field="0" count="1" selected="0">
            <x v="7"/>
          </reference>
          <reference field="4" count="1" selected="0">
            <x v="4"/>
          </reference>
        </references>
      </pivotArea>
    </chartFormat>
    <chartFormat chart="3" format="50">
      <pivotArea type="data" outline="0" fieldPosition="0">
        <references count="3">
          <reference field="4294967294" count="1" selected="0">
            <x v="1"/>
          </reference>
          <reference field="0" count="1" selected="0">
            <x v="7"/>
          </reference>
          <reference field="4" count="1" selected="0">
            <x v="11"/>
          </reference>
        </references>
      </pivotArea>
    </chartFormat>
    <chartFormat chart="3" format="51">
      <pivotArea type="data" outline="0" fieldPosition="0">
        <references count="3">
          <reference field="4294967294" count="1" selected="0">
            <x v="1"/>
          </reference>
          <reference field="0" count="1" selected="0">
            <x v="8"/>
          </reference>
          <reference field="4" count="1" selected="0">
            <x v="6"/>
          </reference>
        </references>
      </pivotArea>
    </chartFormat>
    <chartFormat chart="3" format="52">
      <pivotArea type="data" outline="0" fieldPosition="0">
        <references count="3">
          <reference field="4294967294" count="1" selected="0">
            <x v="1"/>
          </reference>
          <reference field="0" count="1" selected="0">
            <x v="9"/>
          </reference>
          <reference field="4" count="1" selected="0">
            <x v="2"/>
          </reference>
        </references>
      </pivotArea>
    </chartFormat>
    <chartFormat chart="3" format="53">
      <pivotArea type="data" outline="0" fieldPosition="0">
        <references count="3">
          <reference field="4294967294" count="1" selected="0">
            <x v="1"/>
          </reference>
          <reference field="0" count="1" selected="0">
            <x v="1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21E1E6-437E-4A44-8997-7873BBD00B05}" sourceName="Category">
  <pivotTables>
    <pivotTable tabId="3" name="PivotTable1"/>
  </pivotTables>
  <data>
    <tabular pivotCacheId="728433242">
      <items count="11">
        <i x="7" s="1"/>
        <i x="3" s="1"/>
        <i x="1" s="1"/>
        <i x="10" s="1"/>
        <i x="9" s="1"/>
        <i x="0" s="1"/>
        <i x="5" s="1"/>
        <i x="4" s="1"/>
        <i x="6" s="1"/>
        <i x="2"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ual_spent" xr10:uid="{163C2478-120C-4AC7-885A-1DFF097F46C7}" sourceName="Actual spent">
  <pivotTables>
    <pivotTable tabId="3" name="PivotTable1"/>
  </pivotTables>
  <data>
    <tabular pivotCacheId="728433242">
      <items count="9">
        <i x="2" s="1"/>
        <i x="1" s="1"/>
        <i x="8" s="1"/>
        <i x="3" s="1"/>
        <i x="5" s="1"/>
        <i x="0" s="1"/>
        <i x="4"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maining" xr10:uid="{2D59B25F-2E96-46B6-AEDF-3944F5588F2C}" sourceName="Remaining">
  <pivotTables>
    <pivotTable tabId="3" name="PivotTable1"/>
  </pivotTables>
  <data>
    <tabular pivotCacheId="728433242">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647CA5-F8B5-4B8A-87AA-57F8D5F177C8}" cache="Slicer_Category" caption="Category" rowHeight="241300"/>
  <slicer name="Actual spent" xr10:uid="{4BA8A556-1ACF-48DD-8381-C46082049B9B}" cache="Slicer_Actual_spent" caption="Actual spent" rowHeight="241300"/>
  <slicer name="Remaining" xr10:uid="{80BC03E1-DC81-402A-9F29-A47338103408}" cache="Slicer_Remaining" caption="Remaining"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5E9F76F-0EA6-41F5-B646-73D23ECF0363}" cache="Slicer_Category" caption="Category" startItem="3" rowHeight="241300"/>
  <slicer name="Actual spent 1" xr10:uid="{85C180B7-6927-43E2-8588-2FEC59BC7F1F}" cache="Slicer_Actual_spent" caption="Actual spent" rowHeight="241300"/>
  <slicer name="Remaining 1" xr10:uid="{E75A130E-609F-424C-8891-0C38439B78B7}" cache="Slicer_Remaining" caption="Remain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EB0B-413F-42ED-8948-BED75EB396CF}">
  <dimension ref="A1:F13"/>
  <sheetViews>
    <sheetView workbookViewId="0">
      <selection activeCell="A2" sqref="A2:A13"/>
    </sheetView>
  </sheetViews>
  <sheetFormatPr defaultRowHeight="15" x14ac:dyDescent="0.25"/>
  <cols>
    <col min="1" max="1" width="13" customWidth="1"/>
    <col min="2" max="3" width="16.42578125" customWidth="1"/>
    <col min="4" max="4" width="19.5703125" customWidth="1"/>
    <col min="5" max="5" width="13.140625" customWidth="1"/>
    <col min="6" max="6" width="15.85546875" customWidth="1"/>
  </cols>
  <sheetData>
    <row r="1" spans="1:6" x14ac:dyDescent="0.25">
      <c r="A1" t="s">
        <v>0</v>
      </c>
      <c r="B1" t="s">
        <v>1</v>
      </c>
      <c r="C1" t="s">
        <v>13</v>
      </c>
      <c r="D1" t="s">
        <v>17</v>
      </c>
      <c r="E1" t="s">
        <v>29</v>
      </c>
      <c r="F1" t="s">
        <v>30</v>
      </c>
    </row>
    <row r="2" spans="1:6" x14ac:dyDescent="0.25">
      <c r="A2" s="1">
        <v>45658</v>
      </c>
      <c r="B2" t="s">
        <v>2</v>
      </c>
      <c r="C2" t="s">
        <v>14</v>
      </c>
      <c r="D2" t="s">
        <v>18</v>
      </c>
      <c r="E2">
        <v>4500</v>
      </c>
      <c r="F2" t="str">
        <f>TEXT(A2,"mmmm")</f>
        <v>January</v>
      </c>
    </row>
    <row r="3" spans="1:6" x14ac:dyDescent="0.25">
      <c r="A3" s="1">
        <v>45689</v>
      </c>
      <c r="B3" t="s">
        <v>3</v>
      </c>
      <c r="C3" t="s">
        <v>14</v>
      </c>
      <c r="D3" t="s">
        <v>19</v>
      </c>
      <c r="E3">
        <v>1500</v>
      </c>
      <c r="F3" t="str">
        <f t="shared" ref="F3:F13" si="0">TEXT(A3,"mmmm")</f>
        <v>February</v>
      </c>
    </row>
    <row r="4" spans="1:6" x14ac:dyDescent="0.25">
      <c r="A4" s="1">
        <v>45717</v>
      </c>
      <c r="B4" t="s">
        <v>4</v>
      </c>
      <c r="C4" t="s">
        <v>14</v>
      </c>
      <c r="D4" t="s">
        <v>20</v>
      </c>
      <c r="E4">
        <v>500</v>
      </c>
      <c r="F4" t="str">
        <f t="shared" si="0"/>
        <v>March</v>
      </c>
    </row>
    <row r="5" spans="1:6" x14ac:dyDescent="0.25">
      <c r="A5" s="1">
        <v>45748</v>
      </c>
      <c r="B5" t="s">
        <v>5</v>
      </c>
      <c r="C5" t="s">
        <v>14</v>
      </c>
      <c r="D5" t="s">
        <v>21</v>
      </c>
      <c r="E5">
        <v>500</v>
      </c>
      <c r="F5" t="str">
        <f t="shared" si="0"/>
        <v>April</v>
      </c>
    </row>
    <row r="6" spans="1:6" x14ac:dyDescent="0.25">
      <c r="A6" s="1">
        <v>45778</v>
      </c>
      <c r="B6" t="s">
        <v>6</v>
      </c>
      <c r="C6" t="s">
        <v>15</v>
      </c>
      <c r="D6" t="s">
        <v>22</v>
      </c>
      <c r="E6">
        <v>1000</v>
      </c>
      <c r="F6" t="str">
        <f t="shared" si="0"/>
        <v>May</v>
      </c>
    </row>
    <row r="7" spans="1:6" x14ac:dyDescent="0.25">
      <c r="A7" s="1">
        <v>45809</v>
      </c>
      <c r="B7" t="s">
        <v>7</v>
      </c>
      <c r="C7" t="s">
        <v>16</v>
      </c>
      <c r="D7" t="s">
        <v>23</v>
      </c>
      <c r="E7">
        <v>40000</v>
      </c>
      <c r="F7" t="str">
        <f t="shared" si="0"/>
        <v>June</v>
      </c>
    </row>
    <row r="8" spans="1:6" x14ac:dyDescent="0.25">
      <c r="A8" s="1">
        <v>45839</v>
      </c>
      <c r="B8" t="s">
        <v>8</v>
      </c>
      <c r="C8" t="s">
        <v>14</v>
      </c>
      <c r="D8" t="s">
        <v>24</v>
      </c>
      <c r="E8">
        <v>2000</v>
      </c>
      <c r="F8" t="str">
        <f t="shared" si="0"/>
        <v>July</v>
      </c>
    </row>
    <row r="9" spans="1:6" x14ac:dyDescent="0.25">
      <c r="A9" s="1">
        <v>45870</v>
      </c>
      <c r="B9" t="s">
        <v>9</v>
      </c>
      <c r="C9" t="s">
        <v>14</v>
      </c>
      <c r="D9" t="s">
        <v>25</v>
      </c>
      <c r="E9">
        <v>1500</v>
      </c>
      <c r="F9" t="str">
        <f t="shared" si="0"/>
        <v>August</v>
      </c>
    </row>
    <row r="10" spans="1:6" x14ac:dyDescent="0.25">
      <c r="A10" s="1">
        <v>45901</v>
      </c>
      <c r="B10" t="s">
        <v>10</v>
      </c>
      <c r="C10" t="s">
        <v>14</v>
      </c>
      <c r="D10" t="s">
        <v>26</v>
      </c>
      <c r="E10">
        <v>700</v>
      </c>
      <c r="F10" t="str">
        <f t="shared" si="0"/>
        <v>September</v>
      </c>
    </row>
    <row r="11" spans="1:6" x14ac:dyDescent="0.25">
      <c r="A11" s="1">
        <v>45931</v>
      </c>
      <c r="B11" t="s">
        <v>11</v>
      </c>
      <c r="C11" t="s">
        <v>14</v>
      </c>
      <c r="D11" t="s">
        <v>27</v>
      </c>
      <c r="E11">
        <v>900</v>
      </c>
      <c r="F11" t="str">
        <f>TEXT(A11,"mmmm")</f>
        <v>October</v>
      </c>
    </row>
    <row r="12" spans="1:6" x14ac:dyDescent="0.25">
      <c r="A12" s="1">
        <v>45962</v>
      </c>
      <c r="B12" t="s">
        <v>12</v>
      </c>
      <c r="C12" t="s">
        <v>16</v>
      </c>
      <c r="D12" t="s">
        <v>28</v>
      </c>
      <c r="E12">
        <v>6000</v>
      </c>
      <c r="F12" t="str">
        <f t="shared" si="0"/>
        <v>November</v>
      </c>
    </row>
    <row r="13" spans="1:6" x14ac:dyDescent="0.25">
      <c r="A13" s="1">
        <v>45992</v>
      </c>
      <c r="B13" t="s">
        <v>31</v>
      </c>
      <c r="C13" t="s">
        <v>15</v>
      </c>
      <c r="D13" t="s">
        <v>22</v>
      </c>
      <c r="E13">
        <v>2000</v>
      </c>
      <c r="F13" t="str">
        <f t="shared" si="0"/>
        <v>December</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DCE0-1DD3-40EB-8355-EBFC15D8C7C1}">
  <dimension ref="A3:P27"/>
  <sheetViews>
    <sheetView topLeftCell="D1" zoomScale="77" zoomScaleNormal="77" workbookViewId="0">
      <selection activeCell="E35" sqref="E35:J51"/>
    </sheetView>
  </sheetViews>
  <sheetFormatPr defaultRowHeight="15" x14ac:dyDescent="0.25"/>
  <cols>
    <col min="1" max="1" width="15.85546875" bestFit="1" customWidth="1"/>
    <col min="2" max="2" width="22.28515625" bestFit="1" customWidth="1"/>
    <col min="3" max="3" width="18.85546875" bestFit="1" customWidth="1"/>
    <col min="5" max="5" width="13.5703125" customWidth="1"/>
    <col min="6" max="6" width="21.7109375" customWidth="1"/>
    <col min="7" max="7" width="18.140625" customWidth="1"/>
    <col min="9" max="9" width="14.85546875" customWidth="1"/>
    <col min="10" max="10" width="22.140625" customWidth="1"/>
    <col min="11" max="11" width="19.140625" customWidth="1"/>
    <col min="13" max="13" width="14.5703125" customWidth="1"/>
    <col min="14" max="14" width="23" customWidth="1"/>
    <col min="15" max="15" width="20.42578125" customWidth="1"/>
    <col min="16" max="16" width="20.28515625" customWidth="1"/>
  </cols>
  <sheetData>
    <row r="3" spans="1:16" x14ac:dyDescent="0.25">
      <c r="A3" s="2" t="s">
        <v>35</v>
      </c>
      <c r="B3" t="s">
        <v>37</v>
      </c>
      <c r="C3" t="s">
        <v>38</v>
      </c>
      <c r="E3" s="2" t="s">
        <v>35</v>
      </c>
      <c r="F3" s="2" t="s">
        <v>37</v>
      </c>
      <c r="G3" t="s">
        <v>52</v>
      </c>
      <c r="I3" s="2" t="s">
        <v>35</v>
      </c>
      <c r="J3" s="2" t="s">
        <v>37</v>
      </c>
      <c r="K3" t="s">
        <v>38</v>
      </c>
      <c r="M3" s="2" t="s">
        <v>35</v>
      </c>
      <c r="N3" s="2" t="s">
        <v>37</v>
      </c>
      <c r="O3" t="s">
        <v>38</v>
      </c>
      <c r="P3" t="s">
        <v>52</v>
      </c>
    </row>
    <row r="4" spans="1:16" x14ac:dyDescent="0.25">
      <c r="A4" s="3" t="s">
        <v>9</v>
      </c>
      <c r="B4" s="4">
        <v>10000</v>
      </c>
      <c r="C4" s="4">
        <v>7000</v>
      </c>
      <c r="E4" s="3" t="s">
        <v>9</v>
      </c>
      <c r="F4" s="4">
        <v>10000</v>
      </c>
      <c r="G4" s="4">
        <v>3000</v>
      </c>
      <c r="I4" s="3" t="s">
        <v>9</v>
      </c>
      <c r="J4" s="4">
        <v>10000</v>
      </c>
      <c r="K4" s="4">
        <v>7000</v>
      </c>
      <c r="M4" s="3" t="s">
        <v>9</v>
      </c>
      <c r="N4" s="4">
        <v>10000</v>
      </c>
      <c r="O4" s="4">
        <v>7000</v>
      </c>
      <c r="P4" s="4">
        <v>3000</v>
      </c>
    </row>
    <row r="5" spans="1:16" x14ac:dyDescent="0.25">
      <c r="A5" s="5" t="s">
        <v>39</v>
      </c>
      <c r="B5" s="4">
        <v>10000</v>
      </c>
      <c r="C5" s="4">
        <v>7000</v>
      </c>
      <c r="E5" s="3" t="s">
        <v>5</v>
      </c>
      <c r="F5" s="4">
        <v>3000</v>
      </c>
      <c r="G5" s="4">
        <v>500</v>
      </c>
      <c r="I5" s="3" t="s">
        <v>5</v>
      </c>
      <c r="J5" s="4">
        <v>3000</v>
      </c>
      <c r="K5" s="4">
        <v>2500</v>
      </c>
      <c r="M5" s="3" t="s">
        <v>5</v>
      </c>
      <c r="N5" s="4">
        <v>3000</v>
      </c>
      <c r="O5" s="4">
        <v>2500</v>
      </c>
      <c r="P5" s="4">
        <v>500</v>
      </c>
    </row>
    <row r="6" spans="1:16" x14ac:dyDescent="0.25">
      <c r="A6" s="3" t="s">
        <v>5</v>
      </c>
      <c r="B6" s="4">
        <v>3000</v>
      </c>
      <c r="C6" s="4">
        <v>2500</v>
      </c>
      <c r="E6" s="3" t="s">
        <v>3</v>
      </c>
      <c r="F6" s="4">
        <v>2500</v>
      </c>
      <c r="G6" s="4">
        <v>1000</v>
      </c>
      <c r="I6" s="3" t="s">
        <v>3</v>
      </c>
      <c r="J6" s="4">
        <v>2500</v>
      </c>
      <c r="K6" s="4">
        <v>1500</v>
      </c>
      <c r="M6" s="3" t="s">
        <v>3</v>
      </c>
      <c r="N6" s="4">
        <v>2500</v>
      </c>
      <c r="O6" s="4">
        <v>1500</v>
      </c>
      <c r="P6" s="4">
        <v>1000</v>
      </c>
    </row>
    <row r="7" spans="1:16" x14ac:dyDescent="0.25">
      <c r="A7" s="5" t="s">
        <v>40</v>
      </c>
      <c r="B7" s="4">
        <v>3000</v>
      </c>
      <c r="C7" s="4">
        <v>2500</v>
      </c>
      <c r="E7" s="3" t="s">
        <v>12</v>
      </c>
      <c r="F7" s="4">
        <v>3000</v>
      </c>
      <c r="G7" s="4">
        <v>1000</v>
      </c>
      <c r="I7" s="3" t="s">
        <v>12</v>
      </c>
      <c r="J7" s="4">
        <v>3000</v>
      </c>
      <c r="K7" s="4">
        <v>2000</v>
      </c>
      <c r="M7" s="3" t="s">
        <v>12</v>
      </c>
      <c r="N7" s="4">
        <v>3000</v>
      </c>
      <c r="O7" s="4">
        <v>2000</v>
      </c>
      <c r="P7" s="4">
        <v>1000</v>
      </c>
    </row>
    <row r="8" spans="1:16" x14ac:dyDescent="0.25">
      <c r="A8" s="3" t="s">
        <v>3</v>
      </c>
      <c r="B8" s="4">
        <v>2500</v>
      </c>
      <c r="C8" s="4">
        <v>1500</v>
      </c>
      <c r="E8" s="3" t="s">
        <v>11</v>
      </c>
      <c r="F8" s="4">
        <v>5000</v>
      </c>
      <c r="G8" s="4">
        <v>2000</v>
      </c>
      <c r="I8" s="3" t="s">
        <v>11</v>
      </c>
      <c r="J8" s="4">
        <v>5000</v>
      </c>
      <c r="K8" s="4">
        <v>3000</v>
      </c>
      <c r="M8" s="3" t="s">
        <v>11</v>
      </c>
      <c r="N8" s="4">
        <v>5000</v>
      </c>
      <c r="O8" s="4">
        <v>3000</v>
      </c>
      <c r="P8" s="4">
        <v>2000</v>
      </c>
    </row>
    <row r="9" spans="1:16" x14ac:dyDescent="0.25">
      <c r="A9" s="5" t="s">
        <v>41</v>
      </c>
      <c r="B9" s="4">
        <v>2500</v>
      </c>
      <c r="C9" s="4">
        <v>1500</v>
      </c>
      <c r="E9" s="3" t="s">
        <v>2</v>
      </c>
      <c r="F9" s="4">
        <v>5000</v>
      </c>
      <c r="G9" s="4">
        <v>1000</v>
      </c>
      <c r="I9" s="3" t="s">
        <v>2</v>
      </c>
      <c r="J9" s="4">
        <v>5000</v>
      </c>
      <c r="K9" s="4">
        <v>4000</v>
      </c>
      <c r="M9" s="3" t="s">
        <v>2</v>
      </c>
      <c r="N9" s="4">
        <v>5000</v>
      </c>
      <c r="O9" s="4">
        <v>4000</v>
      </c>
      <c r="P9" s="4">
        <v>1000</v>
      </c>
    </row>
    <row r="10" spans="1:16" x14ac:dyDescent="0.25">
      <c r="A10" s="3" t="s">
        <v>12</v>
      </c>
      <c r="B10" s="4">
        <v>3000</v>
      </c>
      <c r="C10" s="4">
        <v>2000</v>
      </c>
      <c r="E10" s="3" t="s">
        <v>7</v>
      </c>
      <c r="F10" s="4">
        <v>40000</v>
      </c>
      <c r="G10" s="4">
        <v>37000</v>
      </c>
      <c r="I10" s="3" t="s">
        <v>7</v>
      </c>
      <c r="J10" s="4">
        <v>40000</v>
      </c>
      <c r="K10" s="4">
        <v>3000</v>
      </c>
      <c r="M10" s="3" t="s">
        <v>7</v>
      </c>
      <c r="N10" s="4">
        <v>40000</v>
      </c>
      <c r="O10" s="4">
        <v>3000</v>
      </c>
      <c r="P10" s="4">
        <v>37000</v>
      </c>
    </row>
    <row r="11" spans="1:16" x14ac:dyDescent="0.25">
      <c r="A11" s="5" t="s">
        <v>42</v>
      </c>
      <c r="B11" s="4">
        <v>3000</v>
      </c>
      <c r="C11" s="4">
        <v>2000</v>
      </c>
      <c r="E11" s="3" t="s">
        <v>6</v>
      </c>
      <c r="F11" s="4">
        <v>11000</v>
      </c>
      <c r="G11" s="4">
        <v>4000</v>
      </c>
      <c r="I11" s="3" t="s">
        <v>6</v>
      </c>
      <c r="J11" s="4">
        <v>11000</v>
      </c>
      <c r="K11" s="4">
        <v>7000</v>
      </c>
      <c r="M11" s="3" t="s">
        <v>6</v>
      </c>
      <c r="N11" s="4">
        <v>11000</v>
      </c>
      <c r="O11" s="4">
        <v>7000</v>
      </c>
      <c r="P11" s="4">
        <v>4000</v>
      </c>
    </row>
    <row r="12" spans="1:16" x14ac:dyDescent="0.25">
      <c r="A12" s="3" t="s">
        <v>11</v>
      </c>
      <c r="B12" s="4">
        <v>5000</v>
      </c>
      <c r="C12" s="4">
        <v>3000</v>
      </c>
      <c r="E12" s="3" t="s">
        <v>8</v>
      </c>
      <c r="F12" s="4">
        <v>7000</v>
      </c>
      <c r="G12" s="4">
        <v>1000</v>
      </c>
      <c r="I12" s="3" t="s">
        <v>8</v>
      </c>
      <c r="J12" s="4">
        <v>7000</v>
      </c>
      <c r="K12" s="4">
        <v>6000</v>
      </c>
      <c r="M12" s="3" t="s">
        <v>8</v>
      </c>
      <c r="N12" s="4">
        <v>7000</v>
      </c>
      <c r="O12" s="4">
        <v>6000</v>
      </c>
      <c r="P12" s="4">
        <v>1000</v>
      </c>
    </row>
    <row r="13" spans="1:16" x14ac:dyDescent="0.25">
      <c r="A13" s="5" t="s">
        <v>43</v>
      </c>
      <c r="B13" s="4">
        <v>5000</v>
      </c>
      <c r="C13" s="4">
        <v>3000</v>
      </c>
      <c r="E13" s="3" t="s">
        <v>4</v>
      </c>
      <c r="F13" s="4">
        <v>1500</v>
      </c>
      <c r="G13" s="4">
        <v>500</v>
      </c>
      <c r="I13" s="3" t="s">
        <v>4</v>
      </c>
      <c r="J13" s="4">
        <v>1500</v>
      </c>
      <c r="K13" s="4">
        <v>1000</v>
      </c>
      <c r="M13" s="3" t="s">
        <v>4</v>
      </c>
      <c r="N13" s="4">
        <v>1500</v>
      </c>
      <c r="O13" s="4">
        <v>1000</v>
      </c>
      <c r="P13" s="4">
        <v>500</v>
      </c>
    </row>
    <row r="14" spans="1:16" x14ac:dyDescent="0.25">
      <c r="A14" s="3" t="s">
        <v>2</v>
      </c>
      <c r="B14" s="4">
        <v>5000</v>
      </c>
      <c r="C14" s="4">
        <v>4000</v>
      </c>
      <c r="E14" s="3" t="s">
        <v>10</v>
      </c>
      <c r="F14" s="4">
        <v>3000</v>
      </c>
      <c r="G14" s="4">
        <v>1000</v>
      </c>
      <c r="I14" s="3" t="s">
        <v>10</v>
      </c>
      <c r="J14" s="4">
        <v>3000</v>
      </c>
      <c r="K14" s="4">
        <v>2000</v>
      </c>
      <c r="M14" s="3" t="s">
        <v>10</v>
      </c>
      <c r="N14" s="4">
        <v>3000</v>
      </c>
      <c r="O14" s="4">
        <v>2000</v>
      </c>
      <c r="P14" s="4">
        <v>1000</v>
      </c>
    </row>
    <row r="15" spans="1:16" x14ac:dyDescent="0.25">
      <c r="A15" s="5" t="s">
        <v>44</v>
      </c>
      <c r="B15" s="4">
        <v>5000</v>
      </c>
      <c r="C15" s="4">
        <v>4000</v>
      </c>
      <c r="E15" s="3" t="s">
        <v>51</v>
      </c>
      <c r="F15" s="4"/>
      <c r="G15" s="4"/>
      <c r="I15" s="3" t="s">
        <v>51</v>
      </c>
      <c r="J15" s="4"/>
      <c r="K15" s="4"/>
      <c r="M15" s="3" t="s">
        <v>51</v>
      </c>
      <c r="N15" s="4"/>
      <c r="O15" s="4"/>
      <c r="P15" s="4"/>
    </row>
    <row r="16" spans="1:16" x14ac:dyDescent="0.25">
      <c r="A16" s="3" t="s">
        <v>7</v>
      </c>
      <c r="B16" s="4">
        <v>40000</v>
      </c>
      <c r="C16" s="4">
        <v>3000</v>
      </c>
      <c r="E16" s="3" t="s">
        <v>36</v>
      </c>
      <c r="F16" s="4">
        <v>91000</v>
      </c>
      <c r="G16" s="4">
        <v>52000</v>
      </c>
      <c r="I16" s="3" t="s">
        <v>36</v>
      </c>
      <c r="J16" s="4">
        <v>91000</v>
      </c>
      <c r="K16" s="4">
        <v>39000</v>
      </c>
      <c r="M16" s="3" t="s">
        <v>36</v>
      </c>
      <c r="N16" s="4">
        <v>91000</v>
      </c>
      <c r="O16" s="4">
        <v>39000</v>
      </c>
      <c r="P16" s="4">
        <v>52000</v>
      </c>
    </row>
    <row r="17" spans="1:3" x14ac:dyDescent="0.25">
      <c r="A17" s="5" t="s">
        <v>45</v>
      </c>
      <c r="B17" s="4">
        <v>40000</v>
      </c>
      <c r="C17" s="4">
        <v>3000</v>
      </c>
    </row>
    <row r="18" spans="1:3" x14ac:dyDescent="0.25">
      <c r="A18" s="3" t="s">
        <v>6</v>
      </c>
      <c r="B18" s="4">
        <v>11000</v>
      </c>
      <c r="C18" s="4">
        <v>7000</v>
      </c>
    </row>
    <row r="19" spans="1:3" x14ac:dyDescent="0.25">
      <c r="A19" s="5" t="s">
        <v>46</v>
      </c>
      <c r="B19" s="4">
        <v>6000</v>
      </c>
      <c r="C19" s="4">
        <v>5000</v>
      </c>
    </row>
    <row r="20" spans="1:3" x14ac:dyDescent="0.25">
      <c r="A20" s="5" t="s">
        <v>47</v>
      </c>
      <c r="B20" s="4">
        <v>5000</v>
      </c>
      <c r="C20" s="4">
        <v>2000</v>
      </c>
    </row>
    <row r="21" spans="1:3" x14ac:dyDescent="0.25">
      <c r="A21" s="3" t="s">
        <v>8</v>
      </c>
      <c r="B21" s="4">
        <v>7000</v>
      </c>
      <c r="C21" s="4">
        <v>6000</v>
      </c>
    </row>
    <row r="22" spans="1:3" x14ac:dyDescent="0.25">
      <c r="A22" s="5" t="s">
        <v>48</v>
      </c>
      <c r="B22" s="4">
        <v>7000</v>
      </c>
      <c r="C22" s="4">
        <v>6000</v>
      </c>
    </row>
    <row r="23" spans="1:3" x14ac:dyDescent="0.25">
      <c r="A23" s="3" t="s">
        <v>4</v>
      </c>
      <c r="B23" s="4">
        <v>1500</v>
      </c>
      <c r="C23" s="4">
        <v>1000</v>
      </c>
    </row>
    <row r="24" spans="1:3" x14ac:dyDescent="0.25">
      <c r="A24" s="5" t="s">
        <v>49</v>
      </c>
      <c r="B24" s="4">
        <v>1500</v>
      </c>
      <c r="C24" s="4">
        <v>1000</v>
      </c>
    </row>
    <row r="25" spans="1:3" x14ac:dyDescent="0.25">
      <c r="A25" s="3" t="s">
        <v>10</v>
      </c>
      <c r="B25" s="4">
        <v>3000</v>
      </c>
      <c r="C25" s="4">
        <v>2000</v>
      </c>
    </row>
    <row r="26" spans="1:3" x14ac:dyDescent="0.25">
      <c r="A26" s="5" t="s">
        <v>50</v>
      </c>
      <c r="B26" s="4">
        <v>3000</v>
      </c>
      <c r="C26" s="4">
        <v>2000</v>
      </c>
    </row>
    <row r="27" spans="1:3" x14ac:dyDescent="0.25">
      <c r="A27" s="3" t="s">
        <v>36</v>
      </c>
      <c r="B27" s="4">
        <v>91000</v>
      </c>
      <c r="C27" s="4">
        <v>39000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031D-FD5E-45D3-A60B-AFB7EE842C70}">
  <dimension ref="H9"/>
  <sheetViews>
    <sheetView showGridLines="0" tabSelected="1" topLeftCell="E24" workbookViewId="0">
      <selection activeCell="L25" sqref="L25"/>
    </sheetView>
  </sheetViews>
  <sheetFormatPr defaultRowHeight="15" x14ac:dyDescent="0.25"/>
  <sheetData>
    <row r="9" spans="8:8" x14ac:dyDescent="0.25">
      <c r="H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58E2-CE81-4282-AFB9-668FD4074E36}">
  <dimension ref="A1:F13"/>
  <sheetViews>
    <sheetView workbookViewId="0">
      <selection sqref="A1:G14"/>
    </sheetView>
  </sheetViews>
  <sheetFormatPr defaultRowHeight="15" x14ac:dyDescent="0.25"/>
  <cols>
    <col min="1" max="1" width="15.140625" customWidth="1"/>
    <col min="2" max="2" width="17" customWidth="1"/>
    <col min="3" max="3" width="18.140625" customWidth="1"/>
    <col min="4" max="4" width="18.85546875" customWidth="1"/>
    <col min="5" max="5" width="18.42578125" customWidth="1"/>
    <col min="6" max="6" width="19.28515625" customWidth="1"/>
  </cols>
  <sheetData>
    <row r="1" spans="1:6" x14ac:dyDescent="0.25">
      <c r="A1" t="s">
        <v>1</v>
      </c>
      <c r="B1" t="s">
        <v>32</v>
      </c>
      <c r="C1" t="s">
        <v>33</v>
      </c>
      <c r="D1" t="s">
        <v>34</v>
      </c>
      <c r="E1" t="s">
        <v>30</v>
      </c>
      <c r="F1" t="s">
        <v>0</v>
      </c>
    </row>
    <row r="2" spans="1:6" x14ac:dyDescent="0.25">
      <c r="A2" t="s">
        <v>2</v>
      </c>
      <c r="B2">
        <v>5000</v>
      </c>
      <c r="C2">
        <v>4000</v>
      </c>
      <c r="D2">
        <f>B2-C2</f>
        <v>1000</v>
      </c>
      <c r="E2" t="str">
        <f>TEXT(F2,"mmmm")</f>
        <v>January</v>
      </c>
      <c r="F2" s="1">
        <v>45658</v>
      </c>
    </row>
    <row r="3" spans="1:6" x14ac:dyDescent="0.25">
      <c r="A3" t="s">
        <v>3</v>
      </c>
      <c r="B3">
        <v>2500</v>
      </c>
      <c r="C3">
        <v>1500</v>
      </c>
      <c r="D3">
        <f t="shared" ref="D3:D13" si="0">B3-C3</f>
        <v>1000</v>
      </c>
      <c r="E3" t="str">
        <f t="shared" ref="E3:E13" si="1">TEXT(F3,"mmmm")</f>
        <v>February</v>
      </c>
      <c r="F3" s="1">
        <v>45689</v>
      </c>
    </row>
    <row r="4" spans="1:6" x14ac:dyDescent="0.25">
      <c r="A4" t="s">
        <v>4</v>
      </c>
      <c r="B4">
        <v>1500</v>
      </c>
      <c r="C4">
        <v>1000</v>
      </c>
      <c r="D4">
        <f t="shared" si="0"/>
        <v>500</v>
      </c>
      <c r="E4" t="str">
        <f t="shared" si="1"/>
        <v>March</v>
      </c>
      <c r="F4" s="1">
        <v>45717</v>
      </c>
    </row>
    <row r="5" spans="1:6" x14ac:dyDescent="0.25">
      <c r="A5" t="s">
        <v>5</v>
      </c>
      <c r="B5">
        <v>3000</v>
      </c>
      <c r="C5">
        <v>2500</v>
      </c>
      <c r="D5">
        <f t="shared" si="0"/>
        <v>500</v>
      </c>
      <c r="E5" t="str">
        <f t="shared" si="1"/>
        <v>April</v>
      </c>
      <c r="F5" s="1">
        <v>45748</v>
      </c>
    </row>
    <row r="6" spans="1:6" x14ac:dyDescent="0.25">
      <c r="A6" t="s">
        <v>6</v>
      </c>
      <c r="B6">
        <v>6000</v>
      </c>
      <c r="C6">
        <v>5000</v>
      </c>
      <c r="D6">
        <f t="shared" si="0"/>
        <v>1000</v>
      </c>
      <c r="E6" t="str">
        <f t="shared" si="1"/>
        <v>May</v>
      </c>
      <c r="F6" s="1">
        <v>45778</v>
      </c>
    </row>
    <row r="7" spans="1:6" x14ac:dyDescent="0.25">
      <c r="A7" t="s">
        <v>7</v>
      </c>
      <c r="B7">
        <v>40000</v>
      </c>
      <c r="C7">
        <v>3000</v>
      </c>
      <c r="D7">
        <f t="shared" si="0"/>
        <v>37000</v>
      </c>
      <c r="E7" t="str">
        <f t="shared" si="1"/>
        <v>June</v>
      </c>
      <c r="F7" s="1">
        <v>45809</v>
      </c>
    </row>
    <row r="8" spans="1:6" x14ac:dyDescent="0.25">
      <c r="A8" t="s">
        <v>8</v>
      </c>
      <c r="B8">
        <v>7000</v>
      </c>
      <c r="C8">
        <v>6000</v>
      </c>
      <c r="D8">
        <f t="shared" si="0"/>
        <v>1000</v>
      </c>
      <c r="E8" t="str">
        <f t="shared" si="1"/>
        <v>July</v>
      </c>
      <c r="F8" s="1">
        <v>45839</v>
      </c>
    </row>
    <row r="9" spans="1:6" x14ac:dyDescent="0.25">
      <c r="A9" t="s">
        <v>9</v>
      </c>
      <c r="B9">
        <v>10000</v>
      </c>
      <c r="C9">
        <v>7000</v>
      </c>
      <c r="D9">
        <f t="shared" si="0"/>
        <v>3000</v>
      </c>
      <c r="E9" t="str">
        <f t="shared" si="1"/>
        <v>August</v>
      </c>
      <c r="F9" s="1">
        <v>45870</v>
      </c>
    </row>
    <row r="10" spans="1:6" x14ac:dyDescent="0.25">
      <c r="A10" t="s">
        <v>10</v>
      </c>
      <c r="B10">
        <v>3000</v>
      </c>
      <c r="C10">
        <v>2000</v>
      </c>
      <c r="D10">
        <f t="shared" si="0"/>
        <v>1000</v>
      </c>
      <c r="E10" t="str">
        <f t="shared" si="1"/>
        <v>September</v>
      </c>
      <c r="F10" s="1">
        <v>45901</v>
      </c>
    </row>
    <row r="11" spans="1:6" x14ac:dyDescent="0.25">
      <c r="A11" t="s">
        <v>11</v>
      </c>
      <c r="B11">
        <v>5000</v>
      </c>
      <c r="C11">
        <v>3000</v>
      </c>
      <c r="D11">
        <f t="shared" si="0"/>
        <v>2000</v>
      </c>
      <c r="E11" t="str">
        <f t="shared" si="1"/>
        <v>October</v>
      </c>
      <c r="F11" s="1">
        <v>45931</v>
      </c>
    </row>
    <row r="12" spans="1:6" x14ac:dyDescent="0.25">
      <c r="A12" t="s">
        <v>12</v>
      </c>
      <c r="B12">
        <v>3000</v>
      </c>
      <c r="C12">
        <v>2000</v>
      </c>
      <c r="D12">
        <f t="shared" si="0"/>
        <v>1000</v>
      </c>
      <c r="E12" t="str">
        <f t="shared" si="1"/>
        <v>November</v>
      </c>
      <c r="F12" s="1">
        <v>45962</v>
      </c>
    </row>
    <row r="13" spans="1:6" x14ac:dyDescent="0.25">
      <c r="A13" t="s">
        <v>31</v>
      </c>
      <c r="B13">
        <v>5000</v>
      </c>
      <c r="C13">
        <v>2000</v>
      </c>
      <c r="D13">
        <f t="shared" si="0"/>
        <v>3000</v>
      </c>
      <c r="E13" t="str">
        <f t="shared" si="1"/>
        <v>December</v>
      </c>
      <c r="F13" s="1">
        <v>45992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Sheet3</vt:lpstr>
      <vt:lpstr>Sheet6</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alapati pujitha</dc:creator>
  <cp:lastModifiedBy>alapati pujitha</cp:lastModifiedBy>
  <dcterms:created xsi:type="dcterms:W3CDTF">2026-01-22T13:08:39Z</dcterms:created>
  <dcterms:modified xsi:type="dcterms:W3CDTF">2026-01-22T14:28:45Z</dcterms:modified>
</cp:coreProperties>
</file>